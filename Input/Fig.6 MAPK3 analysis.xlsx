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onst\Nextcloud\Veltrop_group\04_Kinome_analysis\Substrate_dependency_Paper_2026\Acta_Biomaterialia_2026\Working_files\Fig.6\"/>
    </mc:Choice>
  </mc:AlternateContent>
  <xr:revisionPtr revIDLastSave="0" documentId="13_ncr:1_{266D2AD1-A8F9-49A6-B9A5-614C589A78D1}" xr6:coauthVersionLast="47" xr6:coauthVersionMax="47" xr10:uidLastSave="{00000000-0000-0000-0000-000000000000}"/>
  <bookViews>
    <workbookView xWindow="-110" yWindow="-110" windowWidth="19420" windowHeight="11500" tabRatio="500" firstSheet="5" activeTab="5" xr2:uid="{00000000-000D-0000-FFFF-FFFF00000000}"/>
  </bookViews>
  <sheets>
    <sheet name="LMNA WT_rigid_MAPK3" sheetId="1" r:id="rId1"/>
    <sheet name="LMNA R377L_rigid_MAPK3" sheetId="2" r:id="rId2"/>
    <sheet name="LMNA WT_soft_MAPK3" sheetId="3" r:id="rId3"/>
    <sheet name="LMNA R377L_soft_MAPK3" sheetId="4" r:id="rId4"/>
    <sheet name="LMNA WT_soft+stretch_MAPK3" sheetId="5" r:id="rId5"/>
    <sheet name="LMNA R377L_soft+stretch_MAPK3" sheetId="6" r:id="rId6"/>
    <sheet name="Rigid negative control red" sheetId="7" r:id="rId7"/>
    <sheet name="Soft negative control re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3" i="8" l="1"/>
  <c r="M11" i="7"/>
  <c r="P111" i="5"/>
  <c r="P110" i="5"/>
  <c r="P109" i="5"/>
  <c r="P108" i="5"/>
  <c r="P107" i="5"/>
  <c r="P106" i="5"/>
  <c r="P105" i="5"/>
  <c r="P104" i="5"/>
  <c r="P103" i="5"/>
  <c r="P102" i="5"/>
  <c r="P101" i="5"/>
  <c r="P98" i="5"/>
  <c r="P97" i="5"/>
  <c r="P96" i="5"/>
  <c r="P95" i="5"/>
  <c r="P94" i="5"/>
  <c r="P93" i="5"/>
  <c r="P92" i="5"/>
  <c r="P91" i="5"/>
  <c r="P90" i="5"/>
  <c r="P89" i="5"/>
  <c r="P88" i="5"/>
  <c r="P87" i="5"/>
  <c r="P86" i="5"/>
  <c r="P85" i="5"/>
  <c r="P84" i="5"/>
  <c r="P83" i="5"/>
  <c r="P82" i="5"/>
  <c r="P81" i="5"/>
  <c r="P80" i="5"/>
  <c r="P79" i="5"/>
  <c r="P78" i="5"/>
  <c r="P77" i="5"/>
  <c r="P76" i="5"/>
  <c r="P73" i="5"/>
  <c r="P72" i="5"/>
  <c r="P71" i="5"/>
  <c r="P70" i="5"/>
  <c r="P69" i="5"/>
  <c r="P68" i="5"/>
  <c r="P67" i="5"/>
  <c r="P66" i="5"/>
  <c r="P65" i="5"/>
  <c r="P64" i="5"/>
  <c r="P63" i="5"/>
  <c r="P62" i="5"/>
  <c r="P61" i="5"/>
  <c r="P60" i="5"/>
  <c r="P57" i="5"/>
  <c r="P56" i="5"/>
  <c r="P55" i="5"/>
  <c r="P54" i="5"/>
  <c r="P53" i="5"/>
  <c r="P52" i="5"/>
  <c r="P51" i="5"/>
  <c r="P50" i="5"/>
  <c r="P49" i="5"/>
  <c r="P48" i="5"/>
  <c r="P47" i="5"/>
  <c r="P46" i="5"/>
  <c r="P45" i="5"/>
  <c r="P44" i="5"/>
  <c r="P43" i="5"/>
  <c r="P42" i="5"/>
  <c r="P41" i="5"/>
  <c r="P40" i="5"/>
  <c r="P37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7" i="5"/>
  <c r="P16" i="5"/>
  <c r="P15" i="5"/>
  <c r="P14" i="5"/>
  <c r="P13" i="5"/>
  <c r="P12" i="5"/>
  <c r="P11" i="5"/>
  <c r="P10" i="5"/>
  <c r="P9" i="5"/>
  <c r="P8" i="5"/>
  <c r="P7" i="5"/>
  <c r="P6" i="5"/>
  <c r="P5" i="5"/>
  <c r="P4" i="5"/>
  <c r="P3" i="5"/>
  <c r="P2" i="5"/>
  <c r="P83" i="4"/>
  <c r="P82" i="4"/>
  <c r="P81" i="4"/>
  <c r="P80" i="4"/>
  <c r="P79" i="4"/>
  <c r="P78" i="4"/>
  <c r="P77" i="4"/>
  <c r="P76" i="4"/>
  <c r="P75" i="4"/>
  <c r="P74" i="4"/>
  <c r="P73" i="4"/>
  <c r="P72" i="4"/>
  <c r="P71" i="4"/>
  <c r="P68" i="4"/>
  <c r="P67" i="4"/>
  <c r="P66" i="4"/>
  <c r="P65" i="4"/>
  <c r="P64" i="4"/>
  <c r="P63" i="4"/>
  <c r="P62" i="4"/>
  <c r="P61" i="4"/>
  <c r="P60" i="4"/>
  <c r="P59" i="4"/>
  <c r="P58" i="4"/>
  <c r="P57" i="4"/>
  <c r="P54" i="4"/>
  <c r="P53" i="4"/>
  <c r="P52" i="4"/>
  <c r="P51" i="4"/>
  <c r="P50" i="4"/>
  <c r="P49" i="4"/>
  <c r="P48" i="4"/>
  <c r="P47" i="4"/>
  <c r="P46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P3" i="4"/>
  <c r="P2" i="4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3" i="3"/>
  <c r="P12" i="3"/>
  <c r="P11" i="3"/>
  <c r="P10" i="3"/>
  <c r="P9" i="3"/>
  <c r="P8" i="3"/>
  <c r="P7" i="3"/>
  <c r="P6" i="3"/>
  <c r="P5" i="3"/>
  <c r="P4" i="3"/>
  <c r="P3" i="3"/>
  <c r="P2" i="3"/>
  <c r="P42" i="2"/>
  <c r="P41" i="2"/>
  <c r="P40" i="2"/>
  <c r="P39" i="2"/>
  <c r="P38" i="2"/>
  <c r="P37" i="2"/>
  <c r="P36" i="2"/>
  <c r="P35" i="2"/>
  <c r="P32" i="2"/>
  <c r="P31" i="2"/>
  <c r="P30" i="2"/>
  <c r="P29" i="2"/>
  <c r="P28" i="2"/>
  <c r="P27" i="2"/>
  <c r="P26" i="2"/>
  <c r="P25" i="2"/>
  <c r="P22" i="2"/>
  <c r="P21" i="2"/>
  <c r="P20" i="2"/>
  <c r="P19" i="2"/>
  <c r="P18" i="2"/>
  <c r="P17" i="2"/>
  <c r="P16" i="2"/>
  <c r="P15" i="2"/>
  <c r="P14" i="2"/>
  <c r="P11" i="2"/>
  <c r="P10" i="2"/>
  <c r="P9" i="2"/>
  <c r="P8" i="2"/>
  <c r="P7" i="2"/>
  <c r="P6" i="2"/>
  <c r="P5" i="2"/>
  <c r="P4" i="2"/>
  <c r="P3" i="2"/>
  <c r="P2" i="2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2" i="1"/>
  <c r="P11" i="1"/>
  <c r="P10" i="1"/>
  <c r="P9" i="1"/>
  <c r="P8" i="1"/>
  <c r="P7" i="1"/>
  <c r="P6" i="1"/>
  <c r="P5" i="1"/>
  <c r="P4" i="1"/>
  <c r="P3" i="1"/>
  <c r="P2" i="1"/>
  <c r="P91" i="6"/>
  <c r="P90" i="6"/>
  <c r="P89" i="6"/>
  <c r="P88" i="6"/>
  <c r="P87" i="6"/>
  <c r="P86" i="6"/>
  <c r="P85" i="6"/>
  <c r="P84" i="6"/>
  <c r="P83" i="6"/>
  <c r="P80" i="6"/>
  <c r="P79" i="6"/>
  <c r="P78" i="6"/>
  <c r="P77" i="6"/>
  <c r="P76" i="6"/>
  <c r="P75" i="6"/>
  <c r="P74" i="6"/>
  <c r="P73" i="6"/>
  <c r="P72" i="6"/>
  <c r="P69" i="6"/>
  <c r="P68" i="6"/>
  <c r="P67" i="6"/>
  <c r="P66" i="6"/>
  <c r="P65" i="6"/>
  <c r="P64" i="6"/>
  <c r="P63" i="6"/>
  <c r="P62" i="6"/>
  <c r="P61" i="6"/>
  <c r="P60" i="6"/>
  <c r="P59" i="6"/>
  <c r="P58" i="6"/>
  <c r="P57" i="6"/>
  <c r="P56" i="6"/>
  <c r="P55" i="6"/>
  <c r="P54" i="6"/>
  <c r="P53" i="6"/>
  <c r="P52" i="6"/>
  <c r="P51" i="6"/>
  <c r="P50" i="6"/>
  <c r="P49" i="6"/>
  <c r="P48" i="6"/>
  <c r="P47" i="6"/>
  <c r="P46" i="6"/>
  <c r="P45" i="6"/>
  <c r="P44" i="6"/>
  <c r="P43" i="6"/>
  <c r="P42" i="6"/>
  <c r="P41" i="6"/>
  <c r="P40" i="6"/>
  <c r="P39" i="6"/>
  <c r="P36" i="6"/>
  <c r="P35" i="6"/>
  <c r="P34" i="6"/>
  <c r="P33" i="6"/>
  <c r="P32" i="6"/>
  <c r="P31" i="6"/>
  <c r="P30" i="6"/>
  <c r="P29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P6" i="6"/>
  <c r="P5" i="6"/>
  <c r="P4" i="6"/>
  <c r="P3" i="6"/>
  <c r="P2" i="6"/>
</calcChain>
</file>

<file path=xl/sharedStrings.xml><?xml version="1.0" encoding="utf-8"?>
<sst xmlns="http://schemas.openxmlformats.org/spreadsheetml/2006/main" count="5099" uniqueCount="1468">
  <si>
    <t>Well</t>
  </si>
  <si>
    <t>Picture</t>
  </si>
  <si>
    <t>Image</t>
  </si>
  <si>
    <t>Object ID</t>
  </si>
  <si>
    <t>Object type</t>
  </si>
  <si>
    <t>Name</t>
  </si>
  <si>
    <t>Classification</t>
  </si>
  <si>
    <t>Parent</t>
  </si>
  <si>
    <t>ROI</t>
  </si>
  <si>
    <t>Centroid X µm</t>
  </si>
  <si>
    <t>Centroid Y µm</t>
  </si>
  <si>
    <t>Z-slice</t>
  </si>
  <si>
    <t>Area µm^2</t>
  </si>
  <si>
    <t>Perimeter µm</t>
  </si>
  <si>
    <t>ROI: 0,36 µm per pixel: Leica/ALEXA 633: Mean</t>
  </si>
  <si>
    <t>Intensity subtracted by negative control</t>
  </si>
  <si>
    <t>ROI: 0.36 µm per pixel: Leica/ALEXA 633: Std.dev.</t>
  </si>
  <si>
    <t>ROI: 0.36 µm per pixel: Leica/ALEXA 633: Min</t>
  </si>
  <si>
    <t>ROI: 0.36 µm per pixel: Leica/ALEXA 633: Max</t>
  </si>
  <si>
    <t>ROI: 0.36 µm per pixel: Leica/ALEXA 633: Median</t>
  </si>
  <si>
    <t>20260529_fibroblasts_kinases.lif - LMNA WT_rigid_BAD_image1_63x</t>
  </si>
  <si>
    <t>56ebee52-b727-4588-a06a-808d1a9d08f5</t>
  </si>
  <si>
    <t>Annotation</t>
  </si>
  <si>
    <t>Root object (Image)</t>
  </si>
  <si>
    <t>Polygon</t>
  </si>
  <si>
    <t>81.4</t>
  </si>
  <si>
    <t>34.3</t>
  </si>
  <si>
    <t>125.7</t>
  </si>
  <si>
    <t>42.7</t>
  </si>
  <si>
    <t>3.2</t>
  </si>
  <si>
    <t>7.5</t>
  </si>
  <si>
    <t>962ffa96-1af4-46c6-a435-49c16f350b04</t>
  </si>
  <si>
    <t>58.4</t>
  </si>
  <si>
    <t>95.1</t>
  </si>
  <si>
    <t>277.1</t>
  </si>
  <si>
    <t>61.4</t>
  </si>
  <si>
    <t>8.5</t>
  </si>
  <si>
    <t>ff135c84-403c-4af5-a074-d23ca01c30c4</t>
  </si>
  <si>
    <t>61.2</t>
  </si>
  <si>
    <t>205.5</t>
  </si>
  <si>
    <t>52.4</t>
  </si>
  <si>
    <t>2.4</t>
  </si>
  <si>
    <t>6.5</t>
  </si>
  <si>
    <t>521370de-5452-452e-8cb5-61644305abe1</t>
  </si>
  <si>
    <t>155.6</t>
  </si>
  <si>
    <t>60.9</t>
  </si>
  <si>
    <t>171.1</t>
  </si>
  <si>
    <t>48.8</t>
  </si>
  <si>
    <t>6.1</t>
  </si>
  <si>
    <t>17.5</t>
  </si>
  <si>
    <t>32ff0cb6-8374-43d4-883b-30e4ac32f41a</t>
  </si>
  <si>
    <t>109.5</t>
  </si>
  <si>
    <t>61.5</t>
  </si>
  <si>
    <t>154.3</t>
  </si>
  <si>
    <t>46.7</t>
  </si>
  <si>
    <t>5.5</t>
  </si>
  <si>
    <t>70d4d959-a310-479c-aaf4-d85318ede2f5</t>
  </si>
  <si>
    <t>134.9</t>
  </si>
  <si>
    <t>179.2</t>
  </si>
  <si>
    <t>50.8</t>
  </si>
  <si>
    <t>1.9</t>
  </si>
  <si>
    <t>c9bef9ed-e0a5-4a9e-9d43-5dfeb1057e82</t>
  </si>
  <si>
    <t>110.2</t>
  </si>
  <si>
    <t>141.8</t>
  </si>
  <si>
    <t>45.1</t>
  </si>
  <si>
    <t>8c727ff1-6d7e-48ce-976c-d0a8448847ae</t>
  </si>
  <si>
    <t>120.6</t>
  </si>
  <si>
    <t>141.1</t>
  </si>
  <si>
    <t>46.1</t>
  </si>
  <si>
    <t>2.7</t>
  </si>
  <si>
    <t>22fc98b5-ed4d-4a2a-b263-0454208f72d7</t>
  </si>
  <si>
    <t>141.5</t>
  </si>
  <si>
    <t>143.8</t>
  </si>
  <si>
    <t>207.7</t>
  </si>
  <si>
    <t>54.3</t>
  </si>
  <si>
    <t>2.3</t>
  </si>
  <si>
    <t>b65295be-e08d-4e43-ad18-0461e30dabc4</t>
  </si>
  <si>
    <t>Rectangle</t>
  </si>
  <si>
    <t>91.8</t>
  </si>
  <si>
    <t>33742.8</t>
  </si>
  <si>
    <t>734.8</t>
  </si>
  <si>
    <t>3.5</t>
  </si>
  <si>
    <t>936bfac0-33d0-415b-ac6d-d2ffed8630ec</t>
  </si>
  <si>
    <t>137.5</t>
  </si>
  <si>
    <t>176.9</t>
  </si>
  <si>
    <t>155.5</t>
  </si>
  <si>
    <t>48.7</t>
  </si>
  <si>
    <t>1.6</t>
  </si>
  <si>
    <t>4.5</t>
  </si>
  <si>
    <t>20260529_fibroblasts_kinases.lif - LMNA WT_rigid_BAD_image2_63x</t>
  </si>
  <si>
    <t>36af64ff-e0ce-4ce0-abb4-fe319b3fcc0d</t>
  </si>
  <si>
    <t>126.8</t>
  </si>
  <si>
    <t>165.3</t>
  </si>
  <si>
    <t>153.8</t>
  </si>
  <si>
    <t>45.8</t>
  </si>
  <si>
    <t>73be2289-9144-436a-9064-caadb0a98eb5</t>
  </si>
  <si>
    <t>4b9d22da-7b6e-43f8-a0a5-71577580ecab</t>
  </si>
  <si>
    <t>72.7</t>
  </si>
  <si>
    <t>172.2</t>
  </si>
  <si>
    <t>140.4</t>
  </si>
  <si>
    <t>2.6</t>
  </si>
  <si>
    <t>21332272-deeb-4c01-9ef2-4916c83b03b0</t>
  </si>
  <si>
    <t>152.1</t>
  </si>
  <si>
    <t>79.2</t>
  </si>
  <si>
    <t>44.2</t>
  </si>
  <si>
    <t>ef224094-ee5e-4321-be1f-090f577ea3e7</t>
  </si>
  <si>
    <t>171.5</t>
  </si>
  <si>
    <t>48.5</t>
  </si>
  <si>
    <t>4.2</t>
  </si>
  <si>
    <t>11.5</t>
  </si>
  <si>
    <t>972ec1aa-23b9-4307-9980-6ae2dbffd41c</t>
  </si>
  <si>
    <t>40.5</t>
  </si>
  <si>
    <t>165.1</t>
  </si>
  <si>
    <t>49.3</t>
  </si>
  <si>
    <t>94669872-d837-4664-853b-e485de9e1d91</t>
  </si>
  <si>
    <t>164.7</t>
  </si>
  <si>
    <t>136.3</t>
  </si>
  <si>
    <t>154.9</t>
  </si>
  <si>
    <t>2.2</t>
  </si>
  <si>
    <t>4a3b58c3-147a-484c-819a-387b23feafac</t>
  </si>
  <si>
    <t>53.3</t>
  </si>
  <si>
    <t>219.2</t>
  </si>
  <si>
    <t>57.2</t>
  </si>
  <si>
    <t>80dc591f-6187-44d5-9903-5fd016f17e9a</t>
  </si>
  <si>
    <t>154.7</t>
  </si>
  <si>
    <t>105.8</t>
  </si>
  <si>
    <t>41.6</t>
  </si>
  <si>
    <t>1.4</t>
  </si>
  <si>
    <t>05f61cbd-c601-4381-afd8-f6e37d3d034b</t>
  </si>
  <si>
    <t>160.9</t>
  </si>
  <si>
    <t>159.6</t>
  </si>
  <si>
    <t>160.7</t>
  </si>
  <si>
    <t>1.7</t>
  </si>
  <si>
    <t>cc13763f-b68c-4343-8d49-1c53c31bfa6c</t>
  </si>
  <si>
    <t>78.4</t>
  </si>
  <si>
    <t>59.2</t>
  </si>
  <si>
    <t>188.7</t>
  </si>
  <si>
    <t>650b72d6-d2ed-4ffb-b6cd-e6d0f44b39cf</t>
  </si>
  <si>
    <t>142.1</t>
  </si>
  <si>
    <t>58.8</t>
  </si>
  <si>
    <t>143.1</t>
  </si>
  <si>
    <t>2.5</t>
  </si>
  <si>
    <t>613169da-291a-434a-a04e-3b9704c32e5f</t>
  </si>
  <si>
    <t>27.5</t>
  </si>
  <si>
    <t>176.4</t>
  </si>
  <si>
    <t>51.2</t>
  </si>
  <si>
    <t>1.5</t>
  </si>
  <si>
    <t>f4acc77c-ea71-4678-991f-0606218c5576</t>
  </si>
  <si>
    <t>24.1</t>
  </si>
  <si>
    <t>56.7</t>
  </si>
  <si>
    <t>30.1</t>
  </si>
  <si>
    <t>1a625fc1-9dfa-4183-b014-df7a43078aa4</t>
  </si>
  <si>
    <t>142.8</t>
  </si>
  <si>
    <t>148.6</t>
  </si>
  <si>
    <t>46.9</t>
  </si>
  <si>
    <t>28a71e98-aebb-40fa-8bf2-bef66c1f61bb</t>
  </si>
  <si>
    <t>82.4</t>
  </si>
  <si>
    <t>138.4</t>
  </si>
  <si>
    <t>46.4</t>
  </si>
  <si>
    <t>3.6</t>
  </si>
  <si>
    <t>64740b48-3198-43d6-aac2-7bdafbd7ac49</t>
  </si>
  <si>
    <t>14.3</t>
  </si>
  <si>
    <t>80.2</t>
  </si>
  <si>
    <t>143.4</t>
  </si>
  <si>
    <t>1.8</t>
  </si>
  <si>
    <t>4574c167-ff1c-4a9f-a0ca-f4e08faff4a7</t>
  </si>
  <si>
    <t>105.3</t>
  </si>
  <si>
    <t>104.2</t>
  </si>
  <si>
    <t>50.1</t>
  </si>
  <si>
    <t>f773799d-1714-468e-9fcf-a05025f701cb</t>
  </si>
  <si>
    <t>2.9</t>
  </si>
  <si>
    <t>59.1</t>
  </si>
  <si>
    <t>51.6</t>
  </si>
  <si>
    <t>28.3</t>
  </si>
  <si>
    <t>fc95538a-ac84-4844-b627-a3378c4c0661</t>
  </si>
  <si>
    <t>101.4</t>
  </si>
  <si>
    <t>122.5</t>
  </si>
  <si>
    <t>215.9</t>
  </si>
  <si>
    <t>55.1</t>
  </si>
  <si>
    <t>b5173c9a-c2f6-456d-9f2b-b6d91feb6562</t>
  </si>
  <si>
    <t>37.9</t>
  </si>
  <si>
    <t>148.4</t>
  </si>
  <si>
    <t>174.4</t>
  </si>
  <si>
    <t>2.1</t>
  </si>
  <si>
    <t>20260529_fibroblasts_kinases.lif - LMNA WT_rigid_VASP_image4_63x</t>
  </si>
  <si>
    <t>53d8c6cf-635c-420d-a150-a621701ead7f</t>
  </si>
  <si>
    <t>174.9</t>
  </si>
  <si>
    <t>21.4</t>
  </si>
  <si>
    <t>146.8</t>
  </si>
  <si>
    <t>9.5</t>
  </si>
  <si>
    <t>9ce73a80-c00f-4b98-ab68-23742fa51a20</t>
  </si>
  <si>
    <t>154.1</t>
  </si>
  <si>
    <t>188.6</t>
  </si>
  <si>
    <t>c79cfeb7-57c4-44fb-9a7b-ae7f79906dae</t>
  </si>
  <si>
    <t>15.7</t>
  </si>
  <si>
    <t>145.1</t>
  </si>
  <si>
    <t>49.2</t>
  </si>
  <si>
    <t>3.1</t>
  </si>
  <si>
    <t>10.5</t>
  </si>
  <si>
    <t>e7eb3c0d-9771-4114-98d6-a9e0f8c9a331</t>
  </si>
  <si>
    <t>46.3</t>
  </si>
  <si>
    <t>153.5</t>
  </si>
  <si>
    <t>37.3</t>
  </si>
  <si>
    <t>2.8</t>
  </si>
  <si>
    <t>fc16405e-167f-40fa-b501-dd4ce5b1e88a</t>
  </si>
  <si>
    <t>42.2</t>
  </si>
  <si>
    <t>48.9</t>
  </si>
  <si>
    <t>26b84878-7cb8-4d33-a0d6-c15ec1250a6d</t>
  </si>
  <si>
    <t>985f6699-b14b-4e8b-b65a-91a9438ae05d</t>
  </si>
  <si>
    <t>3.4</t>
  </si>
  <si>
    <t>64.4</t>
  </si>
  <si>
    <t>89.1</t>
  </si>
  <si>
    <t>5e47e646-e33a-4c81-8ce9-8e847386a23d</t>
  </si>
  <si>
    <t>40.4</t>
  </si>
  <si>
    <t>148.7</t>
  </si>
  <si>
    <t>d05f4ec6-b812-485b-aedd-45131869e17e</t>
  </si>
  <si>
    <t>57.1</t>
  </si>
  <si>
    <t>4.7</t>
  </si>
  <si>
    <t>70.8</t>
  </si>
  <si>
    <t>32.2</t>
  </si>
  <si>
    <t>4.1</t>
  </si>
  <si>
    <t>18a72da7-3936-400a-9cf3-5710add45b35</t>
  </si>
  <si>
    <t>147.7</t>
  </si>
  <si>
    <t>123.5</t>
  </si>
  <si>
    <t>236.1</t>
  </si>
  <si>
    <t>56.6</t>
  </si>
  <si>
    <t>b27dc3f6-34d6-4fa2-9b9a-27b7176f9988</t>
  </si>
  <si>
    <t>75.1</t>
  </si>
  <si>
    <t>147.3</t>
  </si>
  <si>
    <t>139.5</t>
  </si>
  <si>
    <t>43.1</t>
  </si>
  <si>
    <t>35497856-00cd-47aa-9c73-5eaeaaad5d93</t>
  </si>
  <si>
    <t>108.1</t>
  </si>
  <si>
    <t>161.1</t>
  </si>
  <si>
    <t>159.3</t>
  </si>
  <si>
    <t>47.3</t>
  </si>
  <si>
    <t>f6fdb814-fb91-4709-b4e9-18f24422fa2d</t>
  </si>
  <si>
    <t>53.8</t>
  </si>
  <si>
    <t>13.5</t>
  </si>
  <si>
    <t>13c25ef4-c5ba-4826-9961-6c514128c601</t>
  </si>
  <si>
    <t>34.1</t>
  </si>
  <si>
    <t>38.9</t>
  </si>
  <si>
    <t>169.5</t>
  </si>
  <si>
    <t>aeb3e0f1-f839-41b3-a11f-54cd0446c545</t>
  </si>
  <si>
    <t>106.7</t>
  </si>
  <si>
    <t>76.1</t>
  </si>
  <si>
    <t>161.8</t>
  </si>
  <si>
    <t>2880fedb-ef43-4950-a8f3-35e9aeef5521</t>
  </si>
  <si>
    <t>42.4</t>
  </si>
  <si>
    <t>6.4</t>
  </si>
  <si>
    <t>132.8</t>
  </si>
  <si>
    <t>45.6</t>
  </si>
  <si>
    <t>5.7</t>
  </si>
  <si>
    <t>14.5</t>
  </si>
  <si>
    <t>975fb3ac-bc44-4af5-815e-28c065e55a9e</t>
  </si>
  <si>
    <t>53.9</t>
  </si>
  <si>
    <t>94.5</t>
  </si>
  <si>
    <t>108.9</t>
  </si>
  <si>
    <t>41.9</t>
  </si>
  <si>
    <t>3.8</t>
  </si>
  <si>
    <t>07601211-5c96-4ff0-9a3d-644fd0d35021</t>
  </si>
  <si>
    <t>142.5</t>
  </si>
  <si>
    <t>49.4</t>
  </si>
  <si>
    <t>910f1146-0709-42f2-afd4-7e2b9d7c5214</t>
  </si>
  <si>
    <t>77.5</t>
  </si>
  <si>
    <t>81.8</t>
  </si>
  <si>
    <t>90.4</t>
  </si>
  <si>
    <t>37.4</t>
  </si>
  <si>
    <t>5.4</t>
  </si>
  <si>
    <t>20260529_fibroblasts_kinases.lif - LMNA WT_rigid_VASP_image3_63x</t>
  </si>
  <si>
    <t>9a402e6f-f54e-429c-9cf3-aaafc472a056</t>
  </si>
  <si>
    <t>86.4</t>
  </si>
  <si>
    <t>178.9</t>
  </si>
  <si>
    <t>54.8</t>
  </si>
  <si>
    <t>12.5</t>
  </si>
  <si>
    <t>af0c7111-49de-43a1-b709-a5a51e2dec26</t>
  </si>
  <si>
    <t>178.4</t>
  </si>
  <si>
    <t>173.7</t>
  </si>
  <si>
    <t>127.1</t>
  </si>
  <si>
    <t>c4cf3001-e9e0-4ae4-9276-fba97cfc1368</t>
  </si>
  <si>
    <t>36.9</t>
  </si>
  <si>
    <t>116.8</t>
  </si>
  <si>
    <t>189.1</t>
  </si>
  <si>
    <t>51.4</t>
  </si>
  <si>
    <t>79e9df9d-95bd-464a-9f19-072575ceb44b</t>
  </si>
  <si>
    <t>94.2</t>
  </si>
  <si>
    <t>34.6</t>
  </si>
  <si>
    <t>105.6</t>
  </si>
  <si>
    <t>1e6de718-5a00-46ee-a257-bfc8df73e881</t>
  </si>
  <si>
    <t>56.1</t>
  </si>
  <si>
    <t>29.5</t>
  </si>
  <si>
    <t>4566ff29-26ad-40ec-b5bb-66fa97d742c0</t>
  </si>
  <si>
    <t>122.6</t>
  </si>
  <si>
    <t>5.6</t>
  </si>
  <si>
    <t>107.6</t>
  </si>
  <si>
    <t>38.7</t>
  </si>
  <si>
    <t>74be3b19-b64d-48aa-953f-ccd3bf183e98</t>
  </si>
  <si>
    <t>158.8</t>
  </si>
  <si>
    <t>150.1</t>
  </si>
  <si>
    <t>75cd2b2e-2f1a-40f1-924c-52aea7255cc9</t>
  </si>
  <si>
    <t>79.5</t>
  </si>
  <si>
    <t>107.1</t>
  </si>
  <si>
    <t>190.4</t>
  </si>
  <si>
    <t>709270d4-d07c-43fe-9699-d327cd01ade8</t>
  </si>
  <si>
    <t>167.4</t>
  </si>
  <si>
    <t>174.3</t>
  </si>
  <si>
    <t>eab37642-7164-4609-81f5-c5be7d65b769</t>
  </si>
  <si>
    <t>736123ff-b794-4c3b-a564-d1feac454b33</t>
  </si>
  <si>
    <t>58.7</t>
  </si>
  <si>
    <t>25.1</t>
  </si>
  <si>
    <t>97.4</t>
  </si>
  <si>
    <t>37.7</t>
  </si>
  <si>
    <t>3544bc1e-8aaa-422f-b8cc-c2e3ff4c168e</t>
  </si>
  <si>
    <t>152.8</t>
  </si>
  <si>
    <t>49.6</t>
  </si>
  <si>
    <t>136.8</t>
  </si>
  <si>
    <t>43.5</t>
  </si>
  <si>
    <t>1eba421f-0d85-4414-8947-4ff430ed4096</t>
  </si>
  <si>
    <t>d5d8abf3-148a-41e5-a4e3-1becd78396fe</t>
  </si>
  <si>
    <t>108.5</t>
  </si>
  <si>
    <t>144.2</t>
  </si>
  <si>
    <t>83912538-af03-4002-8248-def986646971</t>
  </si>
  <si>
    <t>134.4</t>
  </si>
  <si>
    <t>113.1</t>
  </si>
  <si>
    <t>200.5</t>
  </si>
  <si>
    <t>53.7</t>
  </si>
  <si>
    <t>15.5</t>
  </si>
  <si>
    <t>e815f789-1f36-402e-ac43-6a7d3a81a195</t>
  </si>
  <si>
    <t>120.9</t>
  </si>
  <si>
    <t>128.7</t>
  </si>
  <si>
    <t>121.3</t>
  </si>
  <si>
    <t>ed4c6874-c1e2-480f-b6d1-61a4f91f8d9a</t>
  </si>
  <si>
    <t>25.6</t>
  </si>
  <si>
    <t>23.8</t>
  </si>
  <si>
    <t>d87ce2cb-de2f-45e6-8324-b1b38f9635a2</t>
  </si>
  <si>
    <t>51.5</t>
  </si>
  <si>
    <t>50.3</t>
  </si>
  <si>
    <t>131.1</t>
  </si>
  <si>
    <t>47.5</t>
  </si>
  <si>
    <t>40627b3d-e512-4a1b-865f-6bc01c4fd754</t>
  </si>
  <si>
    <t>82.6</t>
  </si>
  <si>
    <t>55.2</t>
  </si>
  <si>
    <t>138.7</t>
  </si>
  <si>
    <t>44.8</t>
  </si>
  <si>
    <t>c8c7e78b-fd6e-4fee-8863-a6d871d185a3</t>
  </si>
  <si>
    <t>146.7</t>
  </si>
  <si>
    <t>22.1</t>
  </si>
  <si>
    <t>129.4</t>
  </si>
  <si>
    <t>1d87426d-1da9-4181-a885-7a59fbb56feb</t>
  </si>
  <si>
    <t>105.7</t>
  </si>
  <si>
    <t>124.8</t>
  </si>
  <si>
    <t>average negative control</t>
  </si>
  <si>
    <t>20260529_fibroblasts_kinases.lif - LMNA R377L_rigid_BAD_image1_63x</t>
  </si>
  <si>
    <t>f8f20ef7-f69d-427d-b368-443d285f8fc5</t>
  </si>
  <si>
    <t>49.7</t>
  </si>
  <si>
    <t>158477e1-09d7-41b6-965c-7ad7490b0e4b</t>
  </si>
  <si>
    <t>144.4</t>
  </si>
  <si>
    <t>162.1</t>
  </si>
  <si>
    <t>128.2</t>
  </si>
  <si>
    <t>45.5</t>
  </si>
  <si>
    <t>2cd15fe8-c143-4566-a0b1-405a9dd24568</t>
  </si>
  <si>
    <t>176.7</t>
  </si>
  <si>
    <t>10.7</t>
  </si>
  <si>
    <t>5.2</t>
  </si>
  <si>
    <t>afaa2754-5f3a-4cf8-b51e-f678d0e5dea2</t>
  </si>
  <si>
    <t>88.3</t>
  </si>
  <si>
    <t>83.9</t>
  </si>
  <si>
    <t>192.5</t>
  </si>
  <si>
    <t>55.7</t>
  </si>
  <si>
    <t>30c7dc1f-d3b7-4d56-a221-3455d8b5948b</t>
  </si>
  <si>
    <t>c3b2180c-6a48-4d68-99f2-fd1415b7c9fe</t>
  </si>
  <si>
    <t>40.2</t>
  </si>
  <si>
    <t>182.7</t>
  </si>
  <si>
    <t>a16154e9-3553-472b-ba7a-1a118a0f3207</t>
  </si>
  <si>
    <t>144.5</t>
  </si>
  <si>
    <t>64.2</t>
  </si>
  <si>
    <t>147.5</t>
  </si>
  <si>
    <t>46.5</t>
  </si>
  <si>
    <t>10.8</t>
  </si>
  <si>
    <t>86704d4f-8918-4b5d-a52a-a330977ab921</t>
  </si>
  <si>
    <t>149.6</t>
  </si>
  <si>
    <t>102.3</t>
  </si>
  <si>
    <t>163.8</t>
  </si>
  <si>
    <t>e326a3fd-b929-497b-9c50-e375b3d24dc8</t>
  </si>
  <si>
    <t>102.6</t>
  </si>
  <si>
    <t>186.6</t>
  </si>
  <si>
    <t>51.7</t>
  </si>
  <si>
    <t>4.3</t>
  </si>
  <si>
    <t>7351c81a-0c7c-4dfa-ae70-0bd32d9cb3bf</t>
  </si>
  <si>
    <t>164.6</t>
  </si>
  <si>
    <t>72.3</t>
  </si>
  <si>
    <t>100.8</t>
  </si>
  <si>
    <t>53.5</t>
  </si>
  <si>
    <t>20260529_fibroblasts_kinases.lif - LMNA R377L_rigid_BAD_image2_63x</t>
  </si>
  <si>
    <t>97ea6e4b-1105-4d51-8ac7-b3fa0a145e58</t>
  </si>
  <si>
    <t>119.8</t>
  </si>
  <si>
    <t>43.3</t>
  </si>
  <si>
    <t>178.6</t>
  </si>
  <si>
    <t>50.6</t>
  </si>
  <si>
    <t>4.4</t>
  </si>
  <si>
    <t>f6c498ba-6252-4cf8-99c2-db1b1b035f81</t>
  </si>
  <si>
    <t>45565062-d63b-4c16-a822-55b00b63662b</t>
  </si>
  <si>
    <t>43.2</t>
  </si>
  <si>
    <t>134.3</t>
  </si>
  <si>
    <t>209.9</t>
  </si>
  <si>
    <t>58.5</t>
  </si>
  <si>
    <t>8912eafa-0c43-4b77-9b89-31ed94fb4ea0</t>
  </si>
  <si>
    <t>63.6</t>
  </si>
  <si>
    <t>129.2</t>
  </si>
  <si>
    <t>274.6</t>
  </si>
  <si>
    <t>66.3</t>
  </si>
  <si>
    <t>1c591305-433c-4b05-bc1b-becd541cdde5</t>
  </si>
  <si>
    <t>101.7</t>
  </si>
  <si>
    <t>167.2</t>
  </si>
  <si>
    <t>242.9</t>
  </si>
  <si>
    <t>56.9</t>
  </si>
  <si>
    <t>48162d62-fc25-4940-ade9-d59c1717baa3</t>
  </si>
  <si>
    <t>156.7</t>
  </si>
  <si>
    <t>188.5</t>
  </si>
  <si>
    <t>61ffa00f-5e08-4e26-b163-112b7923ae47</t>
  </si>
  <si>
    <t>97.7</t>
  </si>
  <si>
    <t>91.3</t>
  </si>
  <si>
    <t>164.4</t>
  </si>
  <si>
    <t>46.8</t>
  </si>
  <si>
    <t>47e1a670-0718-4f3b-8342-0be392fb588d</t>
  </si>
  <si>
    <t>40.8</t>
  </si>
  <si>
    <t>8.3</t>
  </si>
  <si>
    <t>163.6</t>
  </si>
  <si>
    <t>47.8</t>
  </si>
  <si>
    <t>9c24c525-36a2-4cc9-9144-a0d1b94aac29</t>
  </si>
  <si>
    <t>156.6</t>
  </si>
  <si>
    <t>41.3</t>
  </si>
  <si>
    <t>20260529_fibroblasts_kinases.lif - LMNA R377L_rigid_VASP_image1_63x</t>
  </si>
  <si>
    <t>4bbec2e5-b1e5-4538-b2a9-ad7a679acf53</t>
  </si>
  <si>
    <t>63.4</t>
  </si>
  <si>
    <t>135.2</t>
  </si>
  <si>
    <t>154.6</t>
  </si>
  <si>
    <t>52acd273-c535-48dc-83ca-a327129af6fa</t>
  </si>
  <si>
    <t>80.4</t>
  </si>
  <si>
    <t>3.3</t>
  </si>
  <si>
    <t>57.4</t>
  </si>
  <si>
    <t>29.7</t>
  </si>
  <si>
    <t>bdc8b690-f2fa-4c3e-bc91-a64ed31e263b</t>
  </si>
  <si>
    <t>46.6</t>
  </si>
  <si>
    <t>157.6</t>
  </si>
  <si>
    <t>50.7</t>
  </si>
  <si>
    <t>ba23d7c1-0de7-43bc-b99f-1db62ec12a01</t>
  </si>
  <si>
    <t>93.9</t>
  </si>
  <si>
    <t>193.7</t>
  </si>
  <si>
    <t>52.7</t>
  </si>
  <si>
    <t>81923861-4a64-4024-b83d-7e50d5052f80</t>
  </si>
  <si>
    <t>122.3</t>
  </si>
  <si>
    <t>105.4</t>
  </si>
  <si>
    <t>207.3</t>
  </si>
  <si>
    <t>57.5</t>
  </si>
  <si>
    <t>0fc25006-fdf4-490d-b7b0-340b1c5cd927</t>
  </si>
  <si>
    <t>800f56c8-ee12-4205-83be-02c7ada6a052</t>
  </si>
  <si>
    <t>101.2</t>
  </si>
  <si>
    <t>5.3</t>
  </si>
  <si>
    <t>38.5</t>
  </si>
  <si>
    <t>3.7</t>
  </si>
  <si>
    <t>46a0d8a4-b718-4b5e-b475-1bdfa19e9377</t>
  </si>
  <si>
    <t>162.5</t>
  </si>
  <si>
    <t>64.9</t>
  </si>
  <si>
    <t>219.1</t>
  </si>
  <si>
    <t>55.9</t>
  </si>
  <si>
    <t>20260529_fibroblasts_kinases.lif - LMNA R377L_rigid_VASP_image2_63x</t>
  </si>
  <si>
    <t>9e7f5a2b-b70e-4f5b-af6d-4d4f7c20632b</t>
  </si>
  <si>
    <t>189.8</t>
  </si>
  <si>
    <t>3d249e85-376a-42e7-9a2c-f47188c3dbdc</t>
  </si>
  <si>
    <t>37.5</t>
  </si>
  <si>
    <t>118.8</t>
  </si>
  <si>
    <t>8ea21dd3-9ed5-4f85-830a-7546951556e2</t>
  </si>
  <si>
    <t>103.9</t>
  </si>
  <si>
    <t>124.1</t>
  </si>
  <si>
    <t>77b6b459-3cd2-453a-9f3e-9212df1392a4</t>
  </si>
  <si>
    <t>153.9</t>
  </si>
  <si>
    <t>32.8</t>
  </si>
  <si>
    <t>195.7</t>
  </si>
  <si>
    <t>3.9</t>
  </si>
  <si>
    <t>04d2e5ed-dbab-4720-967b-69a97b413444</t>
  </si>
  <si>
    <t>51.3</t>
  </si>
  <si>
    <t>c19b30c5-49de-49d8-83ba-c4c52d8474ba</t>
  </si>
  <si>
    <t>144.6</t>
  </si>
  <si>
    <t>126.5</t>
  </si>
  <si>
    <t>220.5</t>
  </si>
  <si>
    <t>6470afba-c1fa-404e-9755-83a1bdead32a</t>
  </si>
  <si>
    <t>85f7e2d7-3dee-46d7-800b-a7b8513a4af8</t>
  </si>
  <si>
    <t>43.8</t>
  </si>
  <si>
    <t>20260529_fibroblasts_kinases.lif - LMNA WT_soft_BAD_image1_63x</t>
  </si>
  <si>
    <t>c882d399-e506-4849-908d-0d3e7a9a0495</t>
  </si>
  <si>
    <t>179.6</t>
  </si>
  <si>
    <t>17.4</t>
  </si>
  <si>
    <t>112.6</t>
  </si>
  <si>
    <t>282dd04c-a260-434c-aaf2-75951d388973</t>
  </si>
  <si>
    <t>165.5</t>
  </si>
  <si>
    <t>138.3</t>
  </si>
  <si>
    <t>8.9</t>
  </si>
  <si>
    <t>18.5</t>
  </si>
  <si>
    <t>f54f2875-d1c0-4053-bd86-b7908dd8d397</t>
  </si>
  <si>
    <t>108.8</t>
  </si>
  <si>
    <t>98.4</t>
  </si>
  <si>
    <t>14.7</t>
  </si>
  <si>
    <t>7efd7a8a-21f8-40fe-b7d8-3715346089b0</t>
  </si>
  <si>
    <t>132.7</t>
  </si>
  <si>
    <t>142.3</t>
  </si>
  <si>
    <t>5.1</t>
  </si>
  <si>
    <t>a841b3ec-a4ca-489d-9590-38550d9e6dff</t>
  </si>
  <si>
    <t>11.3</t>
  </si>
  <si>
    <t>85.8</t>
  </si>
  <si>
    <t>155.9</t>
  </si>
  <si>
    <t>45.2</t>
  </si>
  <si>
    <t>4.8</t>
  </si>
  <si>
    <t>de329cc1-cc9c-40ee-91c1-76c3c5e44b55</t>
  </si>
  <si>
    <t>5.8</t>
  </si>
  <si>
    <t>efa61bb5-ea45-4c39-834f-67542b45d937</t>
  </si>
  <si>
    <t>103.8</t>
  </si>
  <si>
    <t>13.7</t>
  </si>
  <si>
    <t>172.9</t>
  </si>
  <si>
    <t>10.4</t>
  </si>
  <si>
    <t>23.5</t>
  </si>
  <si>
    <t>a8d32867-93cd-439e-81ea-b11a579464d7</t>
  </si>
  <si>
    <t>155.8</t>
  </si>
  <si>
    <t>136.9</t>
  </si>
  <si>
    <t>f4ad3010-2ef7-492c-ab3c-0602693e7fce</t>
  </si>
  <si>
    <t>103.3</t>
  </si>
  <si>
    <t>167.9</t>
  </si>
  <si>
    <t>8.2</t>
  </si>
  <si>
    <t>16.5</t>
  </si>
  <si>
    <t>74a81dbd-b295-4952-8c65-6badd7a68ff2</t>
  </si>
  <si>
    <t>163.7</t>
  </si>
  <si>
    <t>21.5</t>
  </si>
  <si>
    <t>4f0c6616-541d-4198-b8e0-ffe433a84e1d</t>
  </si>
  <si>
    <t>83.4</t>
  </si>
  <si>
    <t>b508bead-1286-430e-8bf5-71400c6f053c</t>
  </si>
  <si>
    <t>66.8</t>
  </si>
  <si>
    <t>66.2</t>
  </si>
  <si>
    <t>176.3</t>
  </si>
  <si>
    <t>20260529_fibroblasts_kinases.lif - LMNA WT_soft_BAD_image2_63x</t>
  </si>
  <si>
    <t>5281c8ab-8931-4ec4-a123-a4d59130b5d7</t>
  </si>
  <si>
    <t>167.8</t>
  </si>
  <si>
    <t>44.5</t>
  </si>
  <si>
    <t>6.6</t>
  </si>
  <si>
    <t>55e1c0d9-cc39-4c34-a6d0-0cfab96e4b57</t>
  </si>
  <si>
    <t>165.4</t>
  </si>
  <si>
    <t>118.6</t>
  </si>
  <si>
    <t>fe545144-6986-41bd-b42c-95dd3ff19bf0</t>
  </si>
  <si>
    <t>77.7</t>
  </si>
  <si>
    <t>260.3</t>
  </si>
  <si>
    <t>60.3</t>
  </si>
  <si>
    <t>76e18136-f1ed-4f27-a5c8-00c71a1f72b7</t>
  </si>
  <si>
    <t>106.5</t>
  </si>
  <si>
    <t>142.7</t>
  </si>
  <si>
    <t>45.4</t>
  </si>
  <si>
    <t>9.4</t>
  </si>
  <si>
    <t>22.5</t>
  </si>
  <si>
    <t>067bca66-115d-48c8-8e8b-7a3c1180a115</t>
  </si>
  <si>
    <t>75.3</t>
  </si>
  <si>
    <t>131.9</t>
  </si>
  <si>
    <t>49.1</t>
  </si>
  <si>
    <t>7.6</t>
  </si>
  <si>
    <t>c4c9baeb-0047-455e-a907-d0bcf8061693</t>
  </si>
  <si>
    <t>117.1</t>
  </si>
  <si>
    <t>9.8</t>
  </si>
  <si>
    <t>19.5</t>
  </si>
  <si>
    <t>984d8208-0930-4a36-b154-a6dcbf3810ce</t>
  </si>
  <si>
    <t>949bdaf8-da98-446f-95ca-19654b7cd0c4</t>
  </si>
  <si>
    <t>136.6</t>
  </si>
  <si>
    <t>39.7</t>
  </si>
  <si>
    <t>15.3</t>
  </si>
  <si>
    <t>31.5</t>
  </si>
  <si>
    <t>fe1052d9-953d-4a9f-a61a-42a7879f00e9</t>
  </si>
  <si>
    <t>52.5</t>
  </si>
  <si>
    <t>97.6</t>
  </si>
  <si>
    <t>39.3</t>
  </si>
  <si>
    <t>4419ff32-5a45-4952-86be-50f03ebbba0e</t>
  </si>
  <si>
    <t>109.7</t>
  </si>
  <si>
    <t>103.1</t>
  </si>
  <si>
    <t>41.5</t>
  </si>
  <si>
    <t>12.6</t>
  </si>
  <si>
    <t>26.5</t>
  </si>
  <si>
    <t>8909c062-d392-470b-8c53-60996630dc3b</t>
  </si>
  <si>
    <t>f9c025cd-94f8-4e83-a1fe-9773394fa5b8</t>
  </si>
  <si>
    <t>167.5</t>
  </si>
  <si>
    <t>94.7</t>
  </si>
  <si>
    <t>146.6</t>
  </si>
  <si>
    <t>28.5</t>
  </si>
  <si>
    <t>678ea346-2552-4fe6-b914-ed7174c19b4f</t>
  </si>
  <si>
    <t>109.3</t>
  </si>
  <si>
    <t>81d4eabb-499f-4064-809f-a5146f82d26f</t>
  </si>
  <si>
    <t>97.5</t>
  </si>
  <si>
    <t>66.6</t>
  </si>
  <si>
    <t>20260529_fibroblasts_kinases.lif - LMNA WT_soft_VASP_image1_63x</t>
  </si>
  <si>
    <t>dbe9683c-d95b-4c81-8a3e-cb2dd40508aa</t>
  </si>
  <si>
    <t>08041b40-1b40-4df0-9d7f-3aa9a1e61e42</t>
  </si>
  <si>
    <t>141.4</t>
  </si>
  <si>
    <t>60.8</t>
  </si>
  <si>
    <t>12.1</t>
  </si>
  <si>
    <t>4862066d-a137-48d7-8ac3-8cc4df340660</t>
  </si>
  <si>
    <t>153.4</t>
  </si>
  <si>
    <t>35.7</t>
  </si>
  <si>
    <t>121.7</t>
  </si>
  <si>
    <t>6680cd31-ab08-428b-bb4e-dc3eabf32225</t>
  </si>
  <si>
    <t>117.8</t>
  </si>
  <si>
    <t>54.9</t>
  </si>
  <si>
    <t>a51edd27-17dc-45a6-aa35-87e05fa38ba5</t>
  </si>
  <si>
    <t>90.9</t>
  </si>
  <si>
    <t>44.6</t>
  </si>
  <si>
    <t>111.6</t>
  </si>
  <si>
    <t>40.6</t>
  </si>
  <si>
    <t>9.2</t>
  </si>
  <si>
    <t>b4050455-7b31-4cb4-a209-468e9c75ed93</t>
  </si>
  <si>
    <t>e760e7c3-97f8-4748-bd88-9ccc8d75e1ae</t>
  </si>
  <si>
    <t>39.5</t>
  </si>
  <si>
    <t>151.7</t>
  </si>
  <si>
    <t>a3f3415b-170c-4cb8-abc5-300cc11a7f34</t>
  </si>
  <si>
    <t>136.5</t>
  </si>
  <si>
    <t>64.1</t>
  </si>
  <si>
    <t>150.5</t>
  </si>
  <si>
    <t>20.5</t>
  </si>
  <si>
    <t>647e776f-ebde-48a9-b6ad-0dae60a66158</t>
  </si>
  <si>
    <t>14.2</t>
  </si>
  <si>
    <t>106.1</t>
  </si>
  <si>
    <t>115.9</t>
  </si>
  <si>
    <t>ff61d2e4-60a0-4d03-bc4a-26de1e570ce6</t>
  </si>
  <si>
    <t>69.4</t>
  </si>
  <si>
    <t>35.8</t>
  </si>
  <si>
    <t>137.8</t>
  </si>
  <si>
    <t>86c8be4e-cb0d-4fd1-83b5-a679a210b607</t>
  </si>
  <si>
    <t>83.5</t>
  </si>
  <si>
    <t>139.3</t>
  </si>
  <si>
    <t>43.6</t>
  </si>
  <si>
    <t>0a7cc642-5293-4317-9b4c-4577ffae579f</t>
  </si>
  <si>
    <t>146.3</t>
  </si>
  <si>
    <t>186.5</t>
  </si>
  <si>
    <t>c78e021a-3c30-45e7-9899-d85275f17330</t>
  </si>
  <si>
    <t>ea900555-7b4b-46ec-aa1e-9a2c11723b93</t>
  </si>
  <si>
    <t>112.5</t>
  </si>
  <si>
    <t>40.3</t>
  </si>
  <si>
    <t>6.9</t>
  </si>
  <si>
    <t>0f41b463-e1d1-45e3-8e26-6d46eb06b15f</t>
  </si>
  <si>
    <t>20260529_fibroblasts_kinases.lif - LMNA WT_soft_VASP_image2_63x</t>
  </si>
  <si>
    <t>76cb8dff-e098-4793-80c5-c9ec52c090cb</t>
  </si>
  <si>
    <t>32.7</t>
  </si>
  <si>
    <t>47.4</t>
  </si>
  <si>
    <t>24.2</t>
  </si>
  <si>
    <t>b9558047-4e6e-428b-85e0-7c9faad0b639</t>
  </si>
  <si>
    <t>140.7</t>
  </si>
  <si>
    <t>173.6</t>
  </si>
  <si>
    <t>155.3</t>
  </si>
  <si>
    <t>7.8</t>
  </si>
  <si>
    <t>c4058a7d-a7a3-4cfe-ba23-7b7abff68681</t>
  </si>
  <si>
    <t>74.8</t>
  </si>
  <si>
    <t>178.8</t>
  </si>
  <si>
    <t>114.4</t>
  </si>
  <si>
    <t>d3174231-9e5f-496e-a81b-9c268f848ec3</t>
  </si>
  <si>
    <t>174.5</t>
  </si>
  <si>
    <t>75.2</t>
  </si>
  <si>
    <t>163.1</t>
  </si>
  <si>
    <t>9.1</t>
  </si>
  <si>
    <t>7b3c61e9-844d-4bbc-a979-b2512276dc48</t>
  </si>
  <si>
    <t>029d9908-615f-40c3-99ce-3989c2fa34ca</t>
  </si>
  <si>
    <t>120.5</t>
  </si>
  <si>
    <t>130.1</t>
  </si>
  <si>
    <t>89e281fb-3979-4315-8544-3f16099b665f</t>
  </si>
  <si>
    <t>cb6f1639-bb8a-4667-9e93-7cd82341298c</t>
  </si>
  <si>
    <t>49.9</t>
  </si>
  <si>
    <t>137.4</t>
  </si>
  <si>
    <t>48.1</t>
  </si>
  <si>
    <t>1276defb-8b7b-428d-a6b4-b3c2310934fa</t>
  </si>
  <si>
    <t>119.4</t>
  </si>
  <si>
    <t>125.5</t>
  </si>
  <si>
    <t>42.5</t>
  </si>
  <si>
    <t>34a9d765-08ef-44f1-b0b5-41033b09256f</t>
  </si>
  <si>
    <t>69e4eb58-d30a-4a47-a354-1ef9e8a1711f</t>
  </si>
  <si>
    <t>72.9</t>
  </si>
  <si>
    <t>28.1</t>
  </si>
  <si>
    <t>fc4e5027-10df-4f24-88d0-9a16adb62c61</t>
  </si>
  <si>
    <t>116.7</t>
  </si>
  <si>
    <t>8.4</t>
  </si>
  <si>
    <t>c4b88f65-8a4f-44c4-821c-abfc609c0a0b</t>
  </si>
  <si>
    <t>126.1</t>
  </si>
  <si>
    <t>88.2</t>
  </si>
  <si>
    <t>53.6</t>
  </si>
  <si>
    <t>average neg. Ctrl.</t>
  </si>
  <si>
    <t>20260529_fibroblasts_kinases.lif - LMNA R377L_soft_BAD_image1_63x</t>
  </si>
  <si>
    <t>b1141f04-9b7c-4660-9674-d975f41c43fb</t>
  </si>
  <si>
    <t>122.7</t>
  </si>
  <si>
    <t>17.8</t>
  </si>
  <si>
    <t>142.9</t>
  </si>
  <si>
    <t>03f36ea9-d796-4aef-9c42-7a70a9758bc2</t>
  </si>
  <si>
    <t>124.7</t>
  </si>
  <si>
    <t>32.5</t>
  </si>
  <si>
    <t>9a5b4b58-0d8d-4cee-a2c3-19f3bb1d24a2</t>
  </si>
  <si>
    <t>102.9</t>
  </si>
  <si>
    <t>95.8</t>
  </si>
  <si>
    <t>40.9</t>
  </si>
  <si>
    <t>36.5</t>
  </si>
  <si>
    <t>dd63245a-8c33-48cf-a70c-639deb54be1d</t>
  </si>
  <si>
    <t>160.1</t>
  </si>
  <si>
    <t>74.9</t>
  </si>
  <si>
    <t>40.1</t>
  </si>
  <si>
    <t>9.9</t>
  </si>
  <si>
    <t>584cfbd9-4099-4df2-9308-be0d40d3caa1</t>
  </si>
  <si>
    <t>147.8</t>
  </si>
  <si>
    <t>126.7</t>
  </si>
  <si>
    <t>8.7</t>
  </si>
  <si>
    <t>8efc3707-69c6-428f-930f-cdcf2118bf8a</t>
  </si>
  <si>
    <t>78.1</t>
  </si>
  <si>
    <t>38.8</t>
  </si>
  <si>
    <t>050e8e6f-85ea-4db9-b93e-85f36c827fe8</t>
  </si>
  <si>
    <t>105.1</t>
  </si>
  <si>
    <t>113.9</t>
  </si>
  <si>
    <t>175.6</t>
  </si>
  <si>
    <t>e2ef8184-eb5d-4e27-98c7-e3265b349397</t>
  </si>
  <si>
    <t>96.2</t>
  </si>
  <si>
    <t>39.6</t>
  </si>
  <si>
    <t>9bb740e5-c5dd-4bef-9b43-d7aea0fa60ca</t>
  </si>
  <si>
    <t>120.2</t>
  </si>
  <si>
    <t>149.7</t>
  </si>
  <si>
    <t>54.1</t>
  </si>
  <si>
    <t>6.8</t>
  </si>
  <si>
    <t>fd0716a2-1076-4e86-9a2f-8e9948ccc245</t>
  </si>
  <si>
    <t>100.3</t>
  </si>
  <si>
    <t>69.9</t>
  </si>
  <si>
    <t>dd055f52-255d-42a7-999d-49f3cf0fc6f4</t>
  </si>
  <si>
    <t>ca54e1e0-5405-459b-a0c9-2b825b297d96</t>
  </si>
  <si>
    <t>800fb54b-cb9b-4e7e-82dc-3d97b697b3e8</t>
  </si>
  <si>
    <t>f91a27d6-3317-4864-9ef7-3743e61cc102</t>
  </si>
  <si>
    <t>26.2</t>
  </si>
  <si>
    <t>11.7</t>
  </si>
  <si>
    <t>8e99ea57-1900-4275-9e00-3374bd002d64</t>
  </si>
  <si>
    <t>133.9</t>
  </si>
  <si>
    <t>67.4</t>
  </si>
  <si>
    <t>75.9</t>
  </si>
  <si>
    <t>b2e45b17-997c-4726-93f1-7e6625a2d025</t>
  </si>
  <si>
    <t>144.7</t>
  </si>
  <si>
    <t>172.3</t>
  </si>
  <si>
    <t>132.2</t>
  </si>
  <si>
    <t>14.6</t>
  </si>
  <si>
    <t>1a468397-22de-476d-828a-1f7fb1681555</t>
  </si>
  <si>
    <t>4694dec5-ce40-42cc-86ea-909193842eab</t>
  </si>
  <si>
    <t>103.7</t>
  </si>
  <si>
    <t>13.9</t>
  </si>
  <si>
    <t>25.5</t>
  </si>
  <si>
    <t>264e42ca-5a7b-48da-9f47-f229054c7c96</t>
  </si>
  <si>
    <t>124.5</t>
  </si>
  <si>
    <t>149.8</t>
  </si>
  <si>
    <t>16.3</t>
  </si>
  <si>
    <t>ca3556c9-94d1-47d8-8bca-5f070a978d4d</t>
  </si>
  <si>
    <t>492c7393-eba0-48c2-ad23-d134395be02a</t>
  </si>
  <si>
    <t>137.9</t>
  </si>
  <si>
    <t>72.8</t>
  </si>
  <si>
    <t>86.3</t>
  </si>
  <si>
    <t>2ae541ab-99de-4fad-b6e9-e470a84d5693</t>
  </si>
  <si>
    <t>29.4</t>
  </si>
  <si>
    <t>182.4</t>
  </si>
  <si>
    <t>ROI: 0,39 µm per pixel: Leica/ALEXA 633: Mean</t>
  </si>
  <si>
    <t>ROI: 0.39 µm per pixel: Leica/ALEXA 633: Std.dev.</t>
  </si>
  <si>
    <t>ROI: 0.39 µm per pixel: Leica/ALEXA 633: Min</t>
  </si>
  <si>
    <t>ROI: 0.39 µm per pixel: Leica/ALEXA 633: Max</t>
  </si>
  <si>
    <t>ROI: 0.39 µm per pixel: Leica/ALEXA 633: Median</t>
  </si>
  <si>
    <t>20260529_fibroblasts_kinases.lif - LMNA R377L_soft_BAD_image2_63x</t>
  </si>
  <si>
    <t>d0501e4b-598b-4492-a5f1-92e27c4d53ab</t>
  </si>
  <si>
    <t>974c20fe-5df0-487e-bc4c-1e1fcbb7c932</t>
  </si>
  <si>
    <t>6.7</t>
  </si>
  <si>
    <t>61.9</t>
  </si>
  <si>
    <t>127.8</t>
  </si>
  <si>
    <t>9.7</t>
  </si>
  <si>
    <t>56c014cf-b87b-49de-8891-90cc7a89095d</t>
  </si>
  <si>
    <t>be93c342-592e-4e73-b07d-f1d7bc4c7cbd</t>
  </si>
  <si>
    <t>147.9</t>
  </si>
  <si>
    <t>e7a50942-d1a8-4c5f-9404-f87e854c46d2</t>
  </si>
  <si>
    <t>127.2</t>
  </si>
  <si>
    <t>23.6</t>
  </si>
  <si>
    <t>159.9</t>
  </si>
  <si>
    <t>22d7ce24-83bf-438f-9756-bb733a7ba8bf</t>
  </si>
  <si>
    <t>62.3</t>
  </si>
  <si>
    <t>7.1</t>
  </si>
  <si>
    <t>9eac7530-d49f-48c9-b3fe-ba02b155bdba</t>
  </si>
  <si>
    <t>158.2</t>
  </si>
  <si>
    <t>116.3</t>
  </si>
  <si>
    <t>167.7</t>
  </si>
  <si>
    <t>29ddcae7-8f3e-4785-b74d-be5d3e1f3e13</t>
  </si>
  <si>
    <t>02027fdd-2255-4598-9b90-d25f122c7f8e</t>
  </si>
  <si>
    <t>94.4</t>
  </si>
  <si>
    <t>73.3</t>
  </si>
  <si>
    <t>117.2</t>
  </si>
  <si>
    <t>45.9</t>
  </si>
  <si>
    <t>12.3</t>
  </si>
  <si>
    <t>35.5</t>
  </si>
  <si>
    <t>41e01ff1-e175-4e89-9326-3187c504067f</t>
  </si>
  <si>
    <t>72.5</t>
  </si>
  <si>
    <t>175.5</t>
  </si>
  <si>
    <t>52.9</t>
  </si>
  <si>
    <t>9.3</t>
  </si>
  <si>
    <t>c30cc9e1-2ecf-484a-b66b-68c7bf06d31b</t>
  </si>
  <si>
    <t>e3e0f1cf-5852-439c-8c26-05d191c9afd9</t>
  </si>
  <si>
    <t>110.5</t>
  </si>
  <si>
    <t>143.5</t>
  </si>
  <si>
    <t>fa1dbb18-3562-4dcd-9e40-0509f9013bf7</t>
  </si>
  <si>
    <t>140.3</t>
  </si>
  <si>
    <t>59.8</t>
  </si>
  <si>
    <t>164.3</t>
  </si>
  <si>
    <t>52.1</t>
  </si>
  <si>
    <t>7.9</t>
  </si>
  <si>
    <t>24.5</t>
  </si>
  <si>
    <t>c5cbfb43-b6fb-4869-9da8-8165da6ba302</t>
  </si>
  <si>
    <t>143.7</t>
  </si>
  <si>
    <t>131.6</t>
  </si>
  <si>
    <t>db1c90c4-f1f9-4c80-90cf-46c964d8c334</t>
  </si>
  <si>
    <t>bbd2372f-fec0-4be8-aab8-2f5af4ebdf26</t>
  </si>
  <si>
    <t>92a34f87-dee5-409b-9b12-97b9ee30dbfa</t>
  </si>
  <si>
    <t>125.8</t>
  </si>
  <si>
    <t>30.5</t>
  </si>
  <si>
    <t>6892fd62-f4ae-4cc2-9f05-87e9e8c56763</t>
  </si>
  <si>
    <t>20260529_fibroblasts_kinases.lif - LMNA R377L_soft_VASP_image1_63x</t>
  </si>
  <si>
    <t>2b8361bc-f84a-4c64-a555-8b8b1a4894c0</t>
  </si>
  <si>
    <t>efe3bd63-1526-47ac-bcb3-b24b881b8a54</t>
  </si>
  <si>
    <t>160.5</t>
  </si>
  <si>
    <t>12.8</t>
  </si>
  <si>
    <t>91c4c355-f209-45bb-b3aa-8844a2f0f197</t>
  </si>
  <si>
    <t>159.8</t>
  </si>
  <si>
    <t>110.7</t>
  </si>
  <si>
    <t>212.3</t>
  </si>
  <si>
    <t>57.8</t>
  </si>
  <si>
    <t>f81c9f10-4983-414a-97a9-cf4a543345f5</t>
  </si>
  <si>
    <t>497080de-95a9-4782-bc51-f11a7144dc06</t>
  </si>
  <si>
    <t>111.2</t>
  </si>
  <si>
    <t>90.2</t>
  </si>
  <si>
    <t>03b82443-c399-449a-9d2d-b8d3e8d7a39f</t>
  </si>
  <si>
    <t>875e9631-d3c2-45c9-9a89-93fffbf21247</t>
  </si>
  <si>
    <t>69.7</t>
  </si>
  <si>
    <t>133.7</t>
  </si>
  <si>
    <t>42.1</t>
  </si>
  <si>
    <t>6ea386f5-12ba-49a2-b876-b57b2ef658df</t>
  </si>
  <si>
    <t>72.2</t>
  </si>
  <si>
    <t>176.1</t>
  </si>
  <si>
    <t>48.6</t>
  </si>
  <si>
    <t>ecdcf90c-b8ac-4abf-b987-962bf284f80f</t>
  </si>
  <si>
    <t>123.4</t>
  </si>
  <si>
    <t>157.1</t>
  </si>
  <si>
    <t>254.7</t>
  </si>
  <si>
    <t>63.2</t>
  </si>
  <si>
    <t>20260529_fibroblasts_kinases.lif - LMNA R377L_soft_VASP_image2_63x</t>
  </si>
  <si>
    <t>6d79738f-f140-429f-a8b0-04a430efdb58</t>
  </si>
  <si>
    <t>dfee4c82-db49-48dd-a73a-5b6fb312bdbc</t>
  </si>
  <si>
    <t>d90da3a6-d783-4b66-9d63-f628fc3634ab</t>
  </si>
  <si>
    <t>93.4</t>
  </si>
  <si>
    <t>60debab0-d2f8-4952-9ead-1f8ddbb66dc7</t>
  </si>
  <si>
    <t>74.6</t>
  </si>
  <si>
    <t>38.3</t>
  </si>
  <si>
    <t>ff6afd17-7f4e-4f2a-944c-2ffc37d240dd</t>
  </si>
  <si>
    <t>5453a10a-e1b0-44b1-b4be-31da5400d631</t>
  </si>
  <si>
    <t>147.2</t>
  </si>
  <si>
    <t>44.4</t>
  </si>
  <si>
    <t>4.9</t>
  </si>
  <si>
    <t>8668cd98-cb41-4d77-8ace-2bae3cb9af6d</t>
  </si>
  <si>
    <t>166.6</t>
  </si>
  <si>
    <t>201.6</t>
  </si>
  <si>
    <t>b12c46d0-ba41-4157-bda7-8d08b185c5a2</t>
  </si>
  <si>
    <t>22.8</t>
  </si>
  <si>
    <t>80.9</t>
  </si>
  <si>
    <t>150.6</t>
  </si>
  <si>
    <t>587d9e4d-52b4-420d-ba8a-f6dacf2bdeeb</t>
  </si>
  <si>
    <t>14.1</t>
  </si>
  <si>
    <t>20b44041-11b0-497d-97b4-a969ae5f27bb</t>
  </si>
  <si>
    <t>96.8</t>
  </si>
  <si>
    <t>76.8</t>
  </si>
  <si>
    <t>44.3</t>
  </si>
  <si>
    <t>5ff6d9ce-4b0e-436f-888b-ceec13659cf1</t>
  </si>
  <si>
    <t>24.9</t>
  </si>
  <si>
    <t>204.5</t>
  </si>
  <si>
    <t>51.8</t>
  </si>
  <si>
    <t>9a9fc6a4-9e91-4c4a-8693-d898208f892b</t>
  </si>
  <si>
    <t>67.8</t>
  </si>
  <si>
    <t>20260529_fibroblasts_kinases.lif - LMNA R377L_soft_VASP_image3_63x</t>
  </si>
  <si>
    <t>5661174f-68b7-4b57-b324-468fabf6b057</t>
  </si>
  <si>
    <t>92.6</t>
  </si>
  <si>
    <t>168.2</t>
  </si>
  <si>
    <t>4.6</t>
  </si>
  <si>
    <t>b12ab220-5705-4c78-aa8b-729febbfd8d7</t>
  </si>
  <si>
    <t>77.4</t>
  </si>
  <si>
    <t>105.5</t>
  </si>
  <si>
    <t>11.4</t>
  </si>
  <si>
    <t>34.5</t>
  </si>
  <si>
    <t>c79c7571-f3ad-4d21-9eb9-33c122df2f39</t>
  </si>
  <si>
    <t>31.6</t>
  </si>
  <si>
    <t>27.6</t>
  </si>
  <si>
    <t>36.3</t>
  </si>
  <si>
    <t>34b8adb6-26e8-45c1-8125-ba4e5d1bbec3</t>
  </si>
  <si>
    <t>3bfc98a8-6604-4475-8247-2be45966b3a1</t>
  </si>
  <si>
    <t>106.9</t>
  </si>
  <si>
    <t>a63be5ad-c46f-4aca-a63e-d5cec42b75c5</t>
  </si>
  <si>
    <t>39.4</t>
  </si>
  <si>
    <t>40.7</t>
  </si>
  <si>
    <t>37e6552b-48f5-4868-b6d9-675acb5f9a5c</t>
  </si>
  <si>
    <t>166.5</t>
  </si>
  <si>
    <t>33.7</t>
  </si>
  <si>
    <t>122.8</t>
  </si>
  <si>
    <t>44.9</t>
  </si>
  <si>
    <t>8318be63-f8f9-4d27-88a2-dc00105465f6</t>
  </si>
  <si>
    <t>b24582a8-b0e6-419b-a566-86e209e8808d</t>
  </si>
  <si>
    <t>97.9</t>
  </si>
  <si>
    <t>36.8</t>
  </si>
  <si>
    <t>b918406a-0dc3-409f-9c0f-5caff433c082</t>
  </si>
  <si>
    <t>64.5</t>
  </si>
  <si>
    <t>55.3</t>
  </si>
  <si>
    <t>77.8</t>
  </si>
  <si>
    <t>32.1</t>
  </si>
  <si>
    <t>d21b5fe2-c226-4e0b-938d-0895bd83700f</t>
  </si>
  <si>
    <t>89.3</t>
  </si>
  <si>
    <t>13.2</t>
  </si>
  <si>
    <t>1b37c14a-a5d0-41db-b5e7-82f02731efe3</t>
  </si>
  <si>
    <t>0419cebc-f2a9-4dfd-ba9a-4520937b0144</t>
  </si>
  <si>
    <t>76.5</t>
  </si>
  <si>
    <t>117.9</t>
  </si>
  <si>
    <t>20260529_fibroblasts_kinases.lif - LMNA WT_soft_stretch_BAD_image1_63x</t>
  </si>
  <si>
    <t>0b59bb33-328b-459e-b90b-97437b444645</t>
  </si>
  <si>
    <t>94.3</t>
  </si>
  <si>
    <t>109.9</t>
  </si>
  <si>
    <t>41.8</t>
  </si>
  <si>
    <t>cc0756f0-2662-43f5-8d4e-a538ec49da41</t>
  </si>
  <si>
    <t>7457e54d-315b-482b-876e-777bfe92d52d</t>
  </si>
  <si>
    <t>87.2</t>
  </si>
  <si>
    <t>e7ca3470-8b95-4f39-be4b-f184eeba765d</t>
  </si>
  <si>
    <t>37.6</t>
  </si>
  <si>
    <t>142.6</t>
  </si>
  <si>
    <t>40b6314f-1ce4-4ae1-9175-65c0c4e69e1b</t>
  </si>
  <si>
    <t>2f5c115e-8af9-4aea-a51f-1f843cfe10f9</t>
  </si>
  <si>
    <t>171.8</t>
  </si>
  <si>
    <t>95.5</t>
  </si>
  <si>
    <t>166.9</t>
  </si>
  <si>
    <t>11.2</t>
  </si>
  <si>
    <t>6128b032-cce8-463c-a90a-b33b2364f686</t>
  </si>
  <si>
    <t>169.8</t>
  </si>
  <si>
    <t>126.4</t>
  </si>
  <si>
    <t>11.1</t>
  </si>
  <si>
    <t>a6516984-503c-4c19-b139-c6773f849f43</t>
  </si>
  <si>
    <t>69b053b0-93e9-4a98-9d42-f64930528ec3</t>
  </si>
  <si>
    <t>93.6</t>
  </si>
  <si>
    <t>110.1</t>
  </si>
  <si>
    <t>17.2</t>
  </si>
  <si>
    <t>97b29700-983e-42e5-9958-65febee56d56</t>
  </si>
  <si>
    <t>65.4</t>
  </si>
  <si>
    <t>19.3</t>
  </si>
  <si>
    <t>47.7</t>
  </si>
  <si>
    <t>8.6</t>
  </si>
  <si>
    <t>6f811dc2-efdf-4d84-8dd0-a6a6ba15ef93</t>
  </si>
  <si>
    <t>33.5</t>
  </si>
  <si>
    <t>c9b4f1e0-fecf-43f5-a609-f4b3d9eb6093</t>
  </si>
  <si>
    <t>121.8</t>
  </si>
  <si>
    <t>159.1</t>
  </si>
  <si>
    <t>030db307-e80d-4c4e-ba4c-d318d6a7b81c</t>
  </si>
  <si>
    <t>68222960-baff-473e-94c9-6886ce17eeb0</t>
  </si>
  <si>
    <t>127.7</t>
  </si>
  <si>
    <t>52.8</t>
  </si>
  <si>
    <t>0da43e2f-1007-4844-8ddf-467fb09e2d06</t>
  </si>
  <si>
    <t>98.2</t>
  </si>
  <si>
    <t>150.9</t>
  </si>
  <si>
    <t>266e4cda-8e6e-47b9-9bb7-018e87a64110</t>
  </si>
  <si>
    <t>20260529_fibroblasts_kinases.lif - LMNA WT_soft_stretch_BAD_image2_63x</t>
  </si>
  <si>
    <t>e615ba6b-43b8-4fa5-9471-0c9d45a3c633</t>
  </si>
  <si>
    <t>99.6</t>
  </si>
  <si>
    <t>008c4d64-9dd4-45e9-b6ad-d7208f32de06</t>
  </si>
  <si>
    <t>64.7</t>
  </si>
  <si>
    <t>9ee57b50-c3d4-4e19-a19a-f91771f38d48</t>
  </si>
  <si>
    <t>79.9</t>
  </si>
  <si>
    <t>88.4</t>
  </si>
  <si>
    <t>39.9</t>
  </si>
  <si>
    <t>448eb05e-0a2d-4039-93e1-6db30b2e2414</t>
  </si>
  <si>
    <t>81.6</t>
  </si>
  <si>
    <t>29.3</t>
  </si>
  <si>
    <t>d54fb3e1-0da9-40cf-8055-88390f4fbff4</t>
  </si>
  <si>
    <t>144.3</t>
  </si>
  <si>
    <t>85.3</t>
  </si>
  <si>
    <t>37.1</t>
  </si>
  <si>
    <t>26.7</t>
  </si>
  <si>
    <t>84.5</t>
  </si>
  <si>
    <t>8f8055b3-ae71-4fa0-8a86-87701138b82f</t>
  </si>
  <si>
    <t>89.6</t>
  </si>
  <si>
    <t>63.8</t>
  </si>
  <si>
    <t>7134dcd5-6f7a-49d5-a4b4-4355011747f2</t>
  </si>
  <si>
    <t>108.7</t>
  </si>
  <si>
    <t>124.4</t>
  </si>
  <si>
    <t>152.9</t>
  </si>
  <si>
    <t>00eddbde-0a87-449d-b1dc-3bf5b923228f</t>
  </si>
  <si>
    <t>9da3ede8-1450-4e42-bb81-2ead4b900787</t>
  </si>
  <si>
    <t>151.1</t>
  </si>
  <si>
    <t>884b5bef-f4e1-492d-9879-c86581e4f6dc</t>
  </si>
  <si>
    <t>70.6</t>
  </si>
  <si>
    <t>10.9</t>
  </si>
  <si>
    <t>0dcf4eec-08a7-436c-91c5-6469b9847c5c</t>
  </si>
  <si>
    <t>86.7</t>
  </si>
  <si>
    <t>129.7</t>
  </si>
  <si>
    <t>124.2</t>
  </si>
  <si>
    <t>a08f4c89-cb25-43c7-b6a9-d40eca48cd83</t>
  </si>
  <si>
    <t>157.5</t>
  </si>
  <si>
    <t>65.3</t>
  </si>
  <si>
    <t>419908bd-f261-4d3c-8a94-cd3413be8b9b</t>
  </si>
  <si>
    <t>300c7dcd-e61f-4442-8a0d-468697f37dd8</t>
  </si>
  <si>
    <t>115.5</t>
  </si>
  <si>
    <t>1b130d47-f3a9-4d5e-8c23-ac538d286fbb</t>
  </si>
  <si>
    <t>8f71b156-21e9-4736-9408-5a3a9657eacb</t>
  </si>
  <si>
    <t>16.7</t>
  </si>
  <si>
    <t>204.2</t>
  </si>
  <si>
    <t>62.7</t>
  </si>
  <si>
    <t>2d765eb5-a5e6-4328-b149-1c75bac2070d</t>
  </si>
  <si>
    <t>24.7</t>
  </si>
  <si>
    <t>116.6</t>
  </si>
  <si>
    <t>169.1</t>
  </si>
  <si>
    <t>6.2</t>
  </si>
  <si>
    <t>09c8b7fd-5151-4fd6-9707-741cee0f42af</t>
  </si>
  <si>
    <t>20260529_fibroblasts_kinases.lif - LMNA WT_soft_stretch_VASP_image1_63x</t>
  </si>
  <si>
    <t>9d2386bc-5a6e-429b-9583-57d4df61e54c</t>
  </si>
  <si>
    <t>100.1</t>
  </si>
  <si>
    <t>181.5</t>
  </si>
  <si>
    <t>52.2</t>
  </si>
  <si>
    <t>14.8</t>
  </si>
  <si>
    <t>44bc982a-c0c6-465e-be06-9e40d59f56d6</t>
  </si>
  <si>
    <t>91.7</t>
  </si>
  <si>
    <t>137.7</t>
  </si>
  <si>
    <t>47.2</t>
  </si>
  <si>
    <t>c77b0b29-1b7c-45b6-b315-22547cafbd37</t>
  </si>
  <si>
    <t>157.8</t>
  </si>
  <si>
    <t>144.1</t>
  </si>
  <si>
    <t>45.3</t>
  </si>
  <si>
    <t>9dd927ba-31f1-4322-bd3c-cfb1f2fa34e7</t>
  </si>
  <si>
    <t>23.3</t>
  </si>
  <si>
    <t>180.3</t>
  </si>
  <si>
    <t>38513b6c-8e19-49f2-83f6-77c3e34c87cb</t>
  </si>
  <si>
    <t>5406e8d7-4314-4d5d-8728-429fadcc6809</t>
  </si>
  <si>
    <t>81.9</t>
  </si>
  <si>
    <t>120.8</t>
  </si>
  <si>
    <t>47.6</t>
  </si>
  <si>
    <t>02d86d0f-f3ac-44d4-8d11-d90b53c42912</t>
  </si>
  <si>
    <t>21.9</t>
  </si>
  <si>
    <t>44.7</t>
  </si>
  <si>
    <t>188.3</t>
  </si>
  <si>
    <t>55.8</t>
  </si>
  <si>
    <t>35338c13-2ba0-48c7-b636-7390ab3564fa</t>
  </si>
  <si>
    <t>3de93a6f-bc45-4b5e-a27f-0d2bbfaa9ade</t>
  </si>
  <si>
    <t>71.9</t>
  </si>
  <si>
    <t>14.9</t>
  </si>
  <si>
    <t>187.4</t>
  </si>
  <si>
    <t>13.3</t>
  </si>
  <si>
    <t>a791071b-2171-4f02-8288-343423003016</t>
  </si>
  <si>
    <t>5.9</t>
  </si>
  <si>
    <t>aa208f36-4e75-48de-b785-30c7456d7133</t>
  </si>
  <si>
    <t>48.4</t>
  </si>
  <si>
    <t>175.3</t>
  </si>
  <si>
    <t>9.6</t>
  </si>
  <si>
    <t>7c3005b7-c836-4ba0-9f97-937aebee0fa0</t>
  </si>
  <si>
    <t>140.2</t>
  </si>
  <si>
    <t>166.7</t>
  </si>
  <si>
    <t>f5486cb7-9b70-4061-a043-3efdaa128351</t>
  </si>
  <si>
    <t>163.3</t>
  </si>
  <si>
    <t>131.4</t>
  </si>
  <si>
    <t>47.1</t>
  </si>
  <si>
    <t>12.2</t>
  </si>
  <si>
    <t>34afd4c8-2a6b-4b45-84f0-277ec79133b7</t>
  </si>
  <si>
    <t>b50ee515-0fbe-488b-9ba5-6a2187889dbe</t>
  </si>
  <si>
    <t>185.6</t>
  </si>
  <si>
    <t>14.4</t>
  </si>
  <si>
    <t>00d8fc5c-2d5a-4b27-8e23-a2d3ed4a0b1f</t>
  </si>
  <si>
    <t>179.8</t>
  </si>
  <si>
    <t>32.9</t>
  </si>
  <si>
    <t>9e1b1c52-8c45-40b0-b313-f8914ed35f64</t>
  </si>
  <si>
    <t>98.6</t>
  </si>
  <si>
    <t>7.2</t>
  </si>
  <si>
    <t>27a13aa3-166f-4119-933c-b9ee4235595f</t>
  </si>
  <si>
    <t>47.9</t>
  </si>
  <si>
    <t>78.8</t>
  </si>
  <si>
    <t>20260529_fibroblasts_kinases.lif - LMNA WT_soft_stretch_VASP_image2_63x</t>
  </si>
  <si>
    <t>e1685646-0cd8-4a98-a396-2101f8427797</t>
  </si>
  <si>
    <t>20.7</t>
  </si>
  <si>
    <t>13.4</t>
  </si>
  <si>
    <t>11.6</t>
  </si>
  <si>
    <t>43c85a29-c4fb-4a7f-93c1-02b96501b946</t>
  </si>
  <si>
    <t>200.3</t>
  </si>
  <si>
    <t>54.5</t>
  </si>
  <si>
    <t>1e430688-d476-4326-9736-6a31af884c78</t>
  </si>
  <si>
    <t>6f5bb29a-7d0d-4a4b-82e0-c7a31f4e1bdf</t>
  </si>
  <si>
    <t>6490d271-5291-4168-bfc1-b7a7465047ae</t>
  </si>
  <si>
    <t>173.1</t>
  </si>
  <si>
    <t>52.6</t>
  </si>
  <si>
    <t>196.2</t>
  </si>
  <si>
    <t>63.3</t>
  </si>
  <si>
    <t>c5874049-dafb-4c1d-80a3-17955e1b592d</t>
  </si>
  <si>
    <t>71.2</t>
  </si>
  <si>
    <t>133.6</t>
  </si>
  <si>
    <t>3b7c7bd3-bb3a-4b25-a966-1204a042171d</t>
  </si>
  <si>
    <t>112.9</t>
  </si>
  <si>
    <t>15.1</t>
  </si>
  <si>
    <t>e2ba8ed3-21fa-4390-9af5-c041931cf7e4</t>
  </si>
  <si>
    <t>97.2</t>
  </si>
  <si>
    <t>139.1</t>
  </si>
  <si>
    <t>c303d63f-5f3f-4240-93f6-3efb5aabd5da</t>
  </si>
  <si>
    <t>145.4</t>
  </si>
  <si>
    <t>168.9</t>
  </si>
  <si>
    <t>166.8</t>
  </si>
  <si>
    <t>4ce52682-557c-4b0d-858e-0fe3fafe8e2b</t>
  </si>
  <si>
    <t>6880f63c-ab92-4fd0-b4a8-3d3e18a8dd23</t>
  </si>
  <si>
    <t>158.6</t>
  </si>
  <si>
    <t>b9ebb02e-0272-410b-8c1f-e432c53649d3</t>
  </si>
  <si>
    <t>2054afcc-fa49-41dd-bee5-6f3aeb7aed31</t>
  </si>
  <si>
    <t>6f0499aa-4a81-4e6e-9a89-dc70a29c8c1d</t>
  </si>
  <si>
    <t>83.8</t>
  </si>
  <si>
    <t>121.2</t>
  </si>
  <si>
    <t>160.8</t>
  </si>
  <si>
    <t>20260529_fibroblasts_kinases.lif - LMNA WT_soft_stretch_BAD_image3_63x</t>
  </si>
  <si>
    <t>f22c49ca-99fd-4a68-b7d4-86793731a182</t>
  </si>
  <si>
    <t>135.7</t>
  </si>
  <si>
    <t>127.4</t>
  </si>
  <si>
    <t>7e6078c8-5875-406e-8c8b-3534b532e122</t>
  </si>
  <si>
    <t>89.4</t>
  </si>
  <si>
    <t>152.6</t>
  </si>
  <si>
    <t>2f41e51a-b9d8-442f-a21e-60a6b5cd85fb</t>
  </si>
  <si>
    <t>22.7</t>
  </si>
  <si>
    <t>56.4</t>
  </si>
  <si>
    <t>85.4</t>
  </si>
  <si>
    <t>c3f70722-da83-42d3-ae41-1543cd43d74f</t>
  </si>
  <si>
    <t>135.6</t>
  </si>
  <si>
    <t>7021026e-3ab8-4fa7-a8ca-e63fb5779e4c</t>
  </si>
  <si>
    <t>33.4</t>
  </si>
  <si>
    <t>167.1</t>
  </si>
  <si>
    <t>1ec28038-c5d9-41c3-9893-19b1635a1e86</t>
  </si>
  <si>
    <t>131.8</t>
  </si>
  <si>
    <t>ae7842be-8bb0-45bd-8e34-eb07a2f38a73</t>
  </si>
  <si>
    <t>154.2</t>
  </si>
  <si>
    <t>161.3</t>
  </si>
  <si>
    <t>169.4</t>
  </si>
  <si>
    <t>c45a68eb-fe2e-4db1-a94b-abe0e4109e97</t>
  </si>
  <si>
    <t>20.1</t>
  </si>
  <si>
    <t>145.2</t>
  </si>
  <si>
    <t>85e41784-20e4-431b-bef0-355863b769ce</t>
  </si>
  <si>
    <t>95.7</t>
  </si>
  <si>
    <t>ef68ab3d-cdcf-4dbd-9a20-297c42dde874</t>
  </si>
  <si>
    <t>19.7</t>
  </si>
  <si>
    <t>94e0553f-c933-4528-b2c9-5672c76f7fc2</t>
  </si>
  <si>
    <t>133.1</t>
  </si>
  <si>
    <t>5478d23e-3eb8-4573-a39f-61a879b84187</t>
  </si>
  <si>
    <t>170.4</t>
  </si>
  <si>
    <t>166.4</t>
  </si>
  <si>
    <t>156.4</t>
  </si>
  <si>
    <t>92f1c9d1-6e42-433d-bcfa-a5f48228808d</t>
  </si>
  <si>
    <t>55.4</t>
  </si>
  <si>
    <t>84.1</t>
  </si>
  <si>
    <t>0f91f465-78aa-4f1e-ab63-2b0322c0a2cf</t>
  </si>
  <si>
    <t>120.3</t>
  </si>
  <si>
    <t>99.3</t>
  </si>
  <si>
    <t>38.4</t>
  </si>
  <si>
    <t>2387c9a1-6299-4a4d-aff7-3e11dcd2a3c6</t>
  </si>
  <si>
    <t>02dd3350-3fa8-4c53-ad10-8b39ba52365d</t>
  </si>
  <si>
    <t>113.6</t>
  </si>
  <si>
    <t>84483683-cb8a-4975-a03e-fc61c66393de</t>
  </si>
  <si>
    <t>133.4</t>
  </si>
  <si>
    <t>f177e511-b77f-426c-9eb6-6fb13be0d9f6</t>
  </si>
  <si>
    <t>76.2</t>
  </si>
  <si>
    <t>78.5</t>
  </si>
  <si>
    <t>168.1</t>
  </si>
  <si>
    <t>8.8</t>
  </si>
  <si>
    <t>c073fe77-2376-44fe-ad5a-9fee4ce054c2</t>
  </si>
  <si>
    <t>107.5</t>
  </si>
  <si>
    <t>4cc82d17-e863-421b-8c75-b013836c146b</t>
  </si>
  <si>
    <t>107.4</t>
  </si>
  <si>
    <t>45.7</t>
  </si>
  <si>
    <t>f272834b-32b8-48a0-bb9d-d08f8dad8c3f</t>
  </si>
  <si>
    <t>90.7</t>
  </si>
  <si>
    <t>b92abaaf-890f-4914-93dc-53cb16e4feb4</t>
  </si>
  <si>
    <t>128.1</t>
  </si>
  <si>
    <t>93.8</t>
  </si>
  <si>
    <t>12.4</t>
  </si>
  <si>
    <t>ca910107-1b99-4946-b995-54f475cd6bd8</t>
  </si>
  <si>
    <t>20260529_fibroblasts_kinases.lif - LMNA WT_soft_stretch_VASP_image3_63x</t>
  </si>
  <si>
    <t>eee2a5b3-0204-4dc6-bd4f-4c271367a69f</t>
  </si>
  <si>
    <t>88fe31fa-089a-423f-afe1-e99a4c86e8a4</t>
  </si>
  <si>
    <t>99.8</t>
  </si>
  <si>
    <t>38.2</t>
  </si>
  <si>
    <t>21122606-a35e-4bd0-bd8a-e90f00dbc8c6</t>
  </si>
  <si>
    <t>62.9</t>
  </si>
  <si>
    <t>30.6</t>
  </si>
  <si>
    <t>16.1</t>
  </si>
  <si>
    <t>6f28c3ef-b71e-4f29-b996-185ee60d5485</t>
  </si>
  <si>
    <t>100.5</t>
  </si>
  <si>
    <t>139.2</t>
  </si>
  <si>
    <t>e09a0963-226d-4677-b847-c896a4c1b4f9</t>
  </si>
  <si>
    <t>149.4</t>
  </si>
  <si>
    <t>130.2</t>
  </si>
  <si>
    <t>60.5</t>
  </si>
  <si>
    <t>debb1261-c58f-4409-8432-118017e5a3de</t>
  </si>
  <si>
    <t>17.6</t>
  </si>
  <si>
    <t>36023479-9b89-4334-8928-c22df02d7330</t>
  </si>
  <si>
    <t>112.8</t>
  </si>
  <si>
    <t>ebccff27-bf43-425f-b178-756558d64f76</t>
  </si>
  <si>
    <t>167.3</t>
  </si>
  <si>
    <t>9788652f-0db0-4729-887f-9a713dfe6fde</t>
  </si>
  <si>
    <t>120.1</t>
  </si>
  <si>
    <t>148.3</t>
  </si>
  <si>
    <t>86c08971-560b-478a-a289-2cf08a04f0c3</t>
  </si>
  <si>
    <t>2984b010-274b-4654-a689-3b07e997d723</t>
  </si>
  <si>
    <t>96.9</t>
  </si>
  <si>
    <t>76.4</t>
  </si>
  <si>
    <t>139.6</t>
  </si>
  <si>
    <t>48.2</t>
  </si>
  <si>
    <t>20260529_fibroblasts_kinases.lif - LMNA R377L_soft_stretch_BAD_image1_63x</t>
  </si>
  <si>
    <t>c60b6ac9-7980-4e9c-817b-f998483886d3</t>
  </si>
  <si>
    <t>95.3</t>
  </si>
  <si>
    <t>168.6</t>
  </si>
  <si>
    <t>54.7</t>
  </si>
  <si>
    <t>7fb1e7a6-a0d1-4f40-8501-04c049c5a743</t>
  </si>
  <si>
    <t>73.9</t>
  </si>
  <si>
    <t>118.2</t>
  </si>
  <si>
    <t>52.3</t>
  </si>
  <si>
    <t>83e7e10b-587d-4136-91fc-ebdcea48365a</t>
  </si>
  <si>
    <t>d3d396b9-713b-45ec-a98f-c85a46b5fdba</t>
  </si>
  <si>
    <t>20.6</t>
  </si>
  <si>
    <t>1d78fe9f-d095-4878-988a-42fa1ec717a5</t>
  </si>
  <si>
    <t>133.8</t>
  </si>
  <si>
    <t>160.2</t>
  </si>
  <si>
    <t>20260529_fibroblasts_kinases.lif - LMNA R377L_soft_stretch_BAD_image2_63x</t>
  </si>
  <si>
    <t>56e71ee7-fa8c-4595-9a50-3d2ad240c5ff</t>
  </si>
  <si>
    <t>100.2</t>
  </si>
  <si>
    <t>125.4</t>
  </si>
  <si>
    <t>b080506e-7a53-43fe-bcf3-0879750bcc22</t>
  </si>
  <si>
    <t>cc2cdb19-f98f-4f3e-b983-447bc78f13bc</t>
  </si>
  <si>
    <t>48.3</t>
  </si>
  <si>
    <t>74.1</t>
  </si>
  <si>
    <t>42.3</t>
  </si>
  <si>
    <t>a831b838-6df6-49c0-829e-1abf143a44a5</t>
  </si>
  <si>
    <t>d50cd3b6-56d9-4085-9747-15c6ed4611df</t>
  </si>
  <si>
    <t>21.6</t>
  </si>
  <si>
    <t>228.1</t>
  </si>
  <si>
    <t>58.6</t>
  </si>
  <si>
    <t>c9d22e81-a70a-4b9f-8c64-c6771784c573</t>
  </si>
  <si>
    <t>98.1</t>
  </si>
  <si>
    <t>75.5</t>
  </si>
  <si>
    <t>7.4</t>
  </si>
  <si>
    <t>ec03f802-c84e-4d5f-86d5-534e6dfb1e2b</t>
  </si>
  <si>
    <t>10.2</t>
  </si>
  <si>
    <t>3216bb9c-bd42-491f-9305-d65c7cf741fe</t>
  </si>
  <si>
    <t>34.7</t>
  </si>
  <si>
    <t>9645ec1d-5f66-4ad3-a815-7a31edd0c237</t>
  </si>
  <si>
    <t>8.1</t>
  </si>
  <si>
    <t>a705b338-6952-4dd1-ba59-4d011faa8b95</t>
  </si>
  <si>
    <t>16.6</t>
  </si>
  <si>
    <t>139.7</t>
  </si>
  <si>
    <t>186.8</t>
  </si>
  <si>
    <t>57.3</t>
  </si>
  <si>
    <t>d470d380-57ce-491d-9e07-1a9fd3e59b13</t>
  </si>
  <si>
    <t>29.9</t>
  </si>
  <si>
    <t>63475271-a507-4ac0-9596-f93dd3a48ac5</t>
  </si>
  <si>
    <t>93.7</t>
  </si>
  <si>
    <t>37.8</t>
  </si>
  <si>
    <t>0f4c9a18-e4dc-4129-8174-f4d2883b65b8</t>
  </si>
  <si>
    <t>138.5</t>
  </si>
  <si>
    <t>177.2</t>
  </si>
  <si>
    <t>56.2</t>
  </si>
  <si>
    <t>8321a4ed-3d3b-42da-aaa5-e1f641cac90f</t>
  </si>
  <si>
    <t>a07838a6-14e6-4612-a932-0e674398ab17</t>
  </si>
  <si>
    <t>79.4</t>
  </si>
  <si>
    <t>93.5</t>
  </si>
  <si>
    <t>f6102835-8232-4f55-b179-793bcd221349</t>
  </si>
  <si>
    <t>24.4</t>
  </si>
  <si>
    <t>88.9</t>
  </si>
  <si>
    <t>3d738e65-cac9-4c11-8ae8-c1043bcc1bd4</t>
  </si>
  <si>
    <t>27.4</t>
  </si>
  <si>
    <t>213.6</t>
  </si>
  <si>
    <t>0a6c5655-ecdf-4013-af34-b41de53c6b92</t>
  </si>
  <si>
    <t>120.7</t>
  </si>
  <si>
    <t>241d9669-d530-44a8-a1eb-170d907f0d62</t>
  </si>
  <si>
    <t>34.2</t>
  </si>
  <si>
    <t>46.2</t>
  </si>
  <si>
    <t>3dce23eb-2fd1-484f-8cbc-eca9fafdfd7c</t>
  </si>
  <si>
    <t>155.4</t>
  </si>
  <si>
    <t>150.7</t>
  </si>
  <si>
    <t>301.7</t>
  </si>
  <si>
    <t>72.6</t>
  </si>
  <si>
    <t>27b462b9-68f4-48b5-900e-7f95b692327d</t>
  </si>
  <si>
    <t>103.6</t>
  </si>
  <si>
    <t>124.3</t>
  </si>
  <si>
    <t>c78386e1-615f-4d81-804f-cd3cad807b60</t>
  </si>
  <si>
    <t>85.1</t>
  </si>
  <si>
    <t>163.5</t>
  </si>
  <si>
    <t>62.8</t>
  </si>
  <si>
    <t>5319295a-0671-4c88-9e7d-ba920a91cbd6</t>
  </si>
  <si>
    <t>67.2</t>
  </si>
  <si>
    <t>132.9</t>
  </si>
  <si>
    <t>acbe8100-f7ed-4645-ad98-dc802dd44212</t>
  </si>
  <si>
    <t>118.7</t>
  </si>
  <si>
    <t>115.2</t>
  </si>
  <si>
    <t>fdeda064-5e76-404a-9e59-2aa26de6d7a0</t>
  </si>
  <si>
    <t>2b61bba1-e787-4a82-94f4-2026829138b0</t>
  </si>
  <si>
    <t>54.4</t>
  </si>
  <si>
    <t>54.2</t>
  </si>
  <si>
    <t>92.7</t>
  </si>
  <si>
    <t>339fa6b2-d676-409f-864e-0db32cd7d941</t>
  </si>
  <si>
    <t>e376ba0d-6455-48e0-8ba8-60b07bed321b</t>
  </si>
  <si>
    <t>80.5</t>
  </si>
  <si>
    <t>20260529_fibroblasts_kinases.lif - LMNA R377L_soft_stretch_BAD_image3_63x</t>
  </si>
  <si>
    <t>227bc6fb-80d3-4549-82f6-631caba1ea03</t>
  </si>
  <si>
    <t>111.5</t>
  </si>
  <si>
    <t>6c0a6a29-a41b-43af-b5a0-60ef7182699d</t>
  </si>
  <si>
    <t>1f71f01b-5604-4515-8a4b-16fa439b07ec</t>
  </si>
  <si>
    <t>43.4</t>
  </si>
  <si>
    <t>94.8</t>
  </si>
  <si>
    <t>f60d302b-b410-4ec9-97d0-e5e31618e3b7</t>
  </si>
  <si>
    <t>e8437226-8821-4e73-b8fe-c5577c40e67a</t>
  </si>
  <si>
    <t>15.6</t>
  </si>
  <si>
    <t>edd27018-6911-4d16-9f8a-a666f4ac971d</t>
  </si>
  <si>
    <t>119.2</t>
  </si>
  <si>
    <t>a45bd40e-4a0e-4b08-83c2-cefad373b497</t>
  </si>
  <si>
    <t>99.4</t>
  </si>
  <si>
    <t>227698ad-a544-4daf-84a5-0b66226a7bff</t>
  </si>
  <si>
    <t>128.4</t>
  </si>
  <si>
    <t>08b4e043-7386-4a0c-9ad9-da2a8da7ec70</t>
  </si>
  <si>
    <t>173.8</t>
  </si>
  <si>
    <t>97.8</t>
  </si>
  <si>
    <t>8bff9470-ec12-4b7f-9c62-8348ec5e9d4f</t>
  </si>
  <si>
    <t>6.3</t>
  </si>
  <si>
    <t>ff774fd3-28dd-4579-865a-af90c4b01a1b</t>
  </si>
  <si>
    <t>80.1</t>
  </si>
  <si>
    <t>176.6</t>
  </si>
  <si>
    <t>111.9</t>
  </si>
  <si>
    <t>743d1854-54b3-457b-a472-9e6ea2a25b6d</t>
  </si>
  <si>
    <t>88.6</t>
  </si>
  <si>
    <t>42.9</t>
  </si>
  <si>
    <t>139.8</t>
  </si>
  <si>
    <t>32f8b416-d329-4955-b6d2-08011ecdf8ff</t>
  </si>
  <si>
    <t>68efafa3-1de7-4fec-adaf-171f58cc7ac9</t>
  </si>
  <si>
    <t>196.4</t>
  </si>
  <si>
    <t>e3d2efca-cdd9-4730-bdea-32d4f523996f</t>
  </si>
  <si>
    <t>ef9718a1-1983-4bc8-b417-82cfebfe0f8e</t>
  </si>
  <si>
    <t>161.7</t>
  </si>
  <si>
    <t>102.1</t>
  </si>
  <si>
    <t>55.5</t>
  </si>
  <si>
    <t>616db96d-8a21-408c-8a26-3ff396e620d0</t>
  </si>
  <si>
    <t>cccee73d-6289-4068-8fad-6126f9a1b59f</t>
  </si>
  <si>
    <t>140.9</t>
  </si>
  <si>
    <t>59.9</t>
  </si>
  <si>
    <t>113.5</t>
  </si>
  <si>
    <t>94d0b62f-a3b4-45ec-bc09-2aa25a4697f0</t>
  </si>
  <si>
    <t>51000f0a-24fb-4de2-8648-a290a0be2aeb</t>
  </si>
  <si>
    <t>150.8</t>
  </si>
  <si>
    <t>131.3</t>
  </si>
  <si>
    <t>8fe49aab-1de8-4322-aa01-2a849ae7019d</t>
  </si>
  <si>
    <t>26.8</t>
  </si>
  <si>
    <t>123.1</t>
  </si>
  <si>
    <t>0828f39b-175e-4be3-bc46-a973314ee56a</t>
  </si>
  <si>
    <t>173.3</t>
  </si>
  <si>
    <t>171.6</t>
  </si>
  <si>
    <t>16f4f1ee-39ee-4124-8832-2a428ad066aa</t>
  </si>
  <si>
    <t>28.8</t>
  </si>
  <si>
    <t>116.9</t>
  </si>
  <si>
    <t>53.4</t>
  </si>
  <si>
    <t>50a72c4c-280b-4aa3-8687-f381a7e40aac</t>
  </si>
  <si>
    <t>15.9</t>
  </si>
  <si>
    <t>38.1</t>
  </si>
  <si>
    <t>101.3</t>
  </si>
  <si>
    <t>7715a8ce-c9a4-4d66-bea4-3db0d721f746</t>
  </si>
  <si>
    <t>3f6a57ed-8f27-44b2-9ced-7a50b9b42249</t>
  </si>
  <si>
    <t>4deeb2c8-2e0a-4acd-8216-95f25befb8cd</t>
  </si>
  <si>
    <t>151.4</t>
  </si>
  <si>
    <t>d00a39bb-368d-4a0c-818b-ca97d1697b67</t>
  </si>
  <si>
    <t>68.6</t>
  </si>
  <si>
    <t>11.8</t>
  </si>
  <si>
    <t>a7fbc671-6645-46be-bdeb-abc4adb1cbd7</t>
  </si>
  <si>
    <t>118.5</t>
  </si>
  <si>
    <t>41.1</t>
  </si>
  <si>
    <t>bc0c4a36-07da-494b-ba2f-a38a533b25e1</t>
  </si>
  <si>
    <t>7aef2a29-05be-44b2-819c-9704f72ae9b6</t>
  </si>
  <si>
    <t>146.4</t>
  </si>
  <si>
    <t>20260529_fibroblasts_kinases.lif - LMNA R377L_soft_stretch_VASP_image1_63x</t>
  </si>
  <si>
    <t>0a3e0481-1466-4425-bf4d-eef522a58826</t>
  </si>
  <si>
    <t>Positive</t>
  </si>
  <si>
    <t>2aa03d7b-3e6f-4c10-ae6a-e703e3064e39</t>
  </si>
  <si>
    <t>22.2</t>
  </si>
  <si>
    <t>e5d93fd0-6a92-4082-9652-c3164e674f45</t>
  </si>
  <si>
    <t>70.1</t>
  </si>
  <si>
    <t>108.4</t>
  </si>
  <si>
    <t>0c3e5195-3b11-44c0-8e17-7f647ccff8d2</t>
  </si>
  <si>
    <t>70.2</t>
  </si>
  <si>
    <t>63.1</t>
  </si>
  <si>
    <t>146.9</t>
  </si>
  <si>
    <t>2def660f-b030-47ce-a99a-89d59bf4073f</t>
  </si>
  <si>
    <t>32dc8490-8e2d-4e35-887e-ca43c54c3da4</t>
  </si>
  <si>
    <t>141.7</t>
  </si>
  <si>
    <t>ea770080-a43f-493c-b87f-07310c323468</t>
  </si>
  <si>
    <t>32.3</t>
  </si>
  <si>
    <t>78.9</t>
  </si>
  <si>
    <t>181.2</t>
  </si>
  <si>
    <t>55.6</t>
  </si>
  <si>
    <t>60503d88-92ac-4ee7-9d59-971bf686f997</t>
  </si>
  <si>
    <t>cd8784ed-683d-41cb-a4df-2aa8915d8ec2</t>
  </si>
  <si>
    <t>13.6</t>
  </si>
  <si>
    <t>20260529_fibroblasts_kinases.lif - LMNA R377L_soft_stretch_VASP_image2_63x</t>
  </si>
  <si>
    <t>8c20fb93-6390-4cb9-ae53-c22920c308c7</t>
  </si>
  <si>
    <t>87.8</t>
  </si>
  <si>
    <t>423571b7-83ca-48db-96a5-435c8e923ce9</t>
  </si>
  <si>
    <t>63e35078-197f-4029-8dbc-cf8f5e22ed01</t>
  </si>
  <si>
    <t>115.7</t>
  </si>
  <si>
    <t>104.4</t>
  </si>
  <si>
    <t>41.2</t>
  </si>
  <si>
    <t>485e9b3a-4d51-463c-a85c-2b1f56c3cf79</t>
  </si>
  <si>
    <t>169.2</t>
  </si>
  <si>
    <t>184.6</t>
  </si>
  <si>
    <t>e1e75d22-cd11-4780-b23e-0cf28a1ff3d4</t>
  </si>
  <si>
    <t>126.3</t>
  </si>
  <si>
    <t>151.9</t>
  </si>
  <si>
    <t>6e3ffd45-d47d-409d-b2a1-a90f52419a3d</t>
  </si>
  <si>
    <t>234.9</t>
  </si>
  <si>
    <t>4c314f7b-4e71-4a03-b8c5-b6e574390ac7</t>
  </si>
  <si>
    <t>92.3</t>
  </si>
  <si>
    <t>65.9</t>
  </si>
  <si>
    <t>115.8</t>
  </si>
  <si>
    <t>65a90093-63c9-4316-acdc-a78acf1ecd5b</t>
  </si>
  <si>
    <t>65.7</t>
  </si>
  <si>
    <t>d0c2b7d4-9291-4138-a071-bc011a02c633</t>
  </si>
  <si>
    <t>20260529_fibroblasts_kinases.lif - Rigid_negative control</t>
  </si>
  <si>
    <t>8a544bee-2d34-4d42-ac01-a8422bd3c182</t>
  </si>
  <si>
    <t>0.6</t>
  </si>
  <si>
    <t>196b1f18-3fa3-45cf-8b30-97dab4abf704</t>
  </si>
  <si>
    <t>152.7</t>
  </si>
  <si>
    <t>111.7</t>
  </si>
  <si>
    <t>187.6</t>
  </si>
  <si>
    <t>0.7</t>
  </si>
  <si>
    <t>cd72435f-ca98-4ee1-aa90-6b8db89a37d4</t>
  </si>
  <si>
    <t>104.7</t>
  </si>
  <si>
    <t>154.5</t>
  </si>
  <si>
    <t>227.1</t>
  </si>
  <si>
    <t>f1a0316d-6b98-4bbd-8b61-aa20b36fe568</t>
  </si>
  <si>
    <t>51.9</t>
  </si>
  <si>
    <t>ee7377fb-8ad2-49b4-8bfa-a3ea8f3830d5</t>
  </si>
  <si>
    <t>0.9</t>
  </si>
  <si>
    <t>4b6a4f83-4f8c-46e3-bbb6-b3e0c1dabc1e</t>
  </si>
  <si>
    <t>70f6bf33-8142-471b-8ecf-fd56e94ca825</t>
  </si>
  <si>
    <t>85.9</t>
  </si>
  <si>
    <t>190.8</t>
  </si>
  <si>
    <t>b4f85ce0-3870-429f-8b21-8177ff256bb3</t>
  </si>
  <si>
    <t>94.1</t>
  </si>
  <si>
    <t>281.8</t>
  </si>
  <si>
    <t>0.8</t>
  </si>
  <si>
    <t>average</t>
  </si>
  <si>
    <t>20260529_fibroblasts_kinases.lif - Soft_negative control_63X</t>
  </si>
  <si>
    <t>45f79d1a-d35f-46b7-b055-220607f41032</t>
  </si>
  <si>
    <t>130.3</t>
  </si>
  <si>
    <t>35.9</t>
  </si>
  <si>
    <t>181.4</t>
  </si>
  <si>
    <t>59d91e31-284c-422f-9eaf-a23a5228f5b9</t>
  </si>
  <si>
    <t>31.3</t>
  </si>
  <si>
    <t>0.5</t>
  </si>
  <si>
    <t>c56a5bac-5ac6-4d11-b61d-41015ab7fed3</t>
  </si>
  <si>
    <t>174.8</t>
  </si>
  <si>
    <t>199.6</t>
  </si>
  <si>
    <t>53.1</t>
  </si>
  <si>
    <t>2b292c5a-badd-4a45-89ac-e6872a42cfdb</t>
  </si>
  <si>
    <t>f67fb913-e5c5-4846-bd72-96259f761f8c</t>
  </si>
  <si>
    <t>223.7</t>
  </si>
  <si>
    <t>b5b12c24-da78-4c8f-a6f0-bdcfbc07ca07</t>
  </si>
  <si>
    <t>193.8</t>
  </si>
  <si>
    <t>0032c413-1bb4-4b2b-ba53-ae3fcc6e34a9</t>
  </si>
  <si>
    <t>184.2</t>
  </si>
  <si>
    <t>5542be36-739a-4dcb-9006-98ff5bcbbdfe</t>
  </si>
  <si>
    <t>130.4</t>
  </si>
  <si>
    <t>189.6</t>
  </si>
  <si>
    <t>3d47d7ba-9db5-48da-815b-877d41266885</t>
  </si>
  <si>
    <t>75.8</t>
  </si>
  <si>
    <t>60de0d12-f24a-49a6-a994-266f7a7ee9e8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</si>
</sst>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/>
        <bgColor rgb="FF969696"/>
      </patternFill>
    </fill>
    <fill>
      <patternFill patternType="solid">
        <fgColor rgb="FFFF0000"/>
        <bgColor rgb="FF993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1" fontId="0" fillId="0" borderId="0" xfId="0" applyNumberFormat="1"/>
    <xf numFmtId="11" fontId="0" fillId="4" borderId="0" xfId="0" applyNumberFormat="1" applyFill="1"/>
    <xf numFmtId="0" fontId="0" fillId="0" borderId="0" xfId="0" applyFill="1"/>
  </cellXfs>
  <cellStyles count="1">
    <cellStyle name="Standa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0"/>
  <sheetViews>
    <sheetView topLeftCell="B22" zoomScaleNormal="100" workbookViewId="0">
      <selection activeCell="P2" sqref="P2:P7"/>
    </sheetView>
  </sheetViews>
  <sheetFormatPr defaultColWidth="8.6328125" defaultRowHeight="14.5" x14ac:dyDescent="0.35"/>
  <cols>
    <col min="15" max="15" width="17.6328125" customWidth="1"/>
    <col min="16" max="16" width="23.8164062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s="2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1</v>
      </c>
      <c r="B2">
        <v>1</v>
      </c>
      <c r="C2" t="s">
        <v>20</v>
      </c>
      <c r="D2" t="s">
        <v>21</v>
      </c>
      <c r="E2" t="s">
        <v>22</v>
      </c>
      <c r="F2">
        <v>1</v>
      </c>
      <c r="H2" t="s">
        <v>23</v>
      </c>
      <c r="I2" t="s">
        <v>24</v>
      </c>
      <c r="J2" t="s">
        <v>25</v>
      </c>
      <c r="K2" t="s">
        <v>26</v>
      </c>
      <c r="L2">
        <v>4</v>
      </c>
      <c r="M2" t="s">
        <v>27</v>
      </c>
      <c r="N2" t="s">
        <v>28</v>
      </c>
      <c r="O2">
        <v>7.8</v>
      </c>
      <c r="P2">
        <f t="shared" ref="P2:P12" si="0">O2-$M$80</f>
        <v>4.5</v>
      </c>
      <c r="Q2" t="s">
        <v>29</v>
      </c>
      <c r="R2">
        <v>3</v>
      </c>
      <c r="S2">
        <v>20</v>
      </c>
      <c r="T2" t="s">
        <v>30</v>
      </c>
    </row>
    <row r="3" spans="1:20" x14ac:dyDescent="0.35">
      <c r="A3">
        <v>1</v>
      </c>
      <c r="B3">
        <v>1</v>
      </c>
      <c r="C3" t="s">
        <v>20</v>
      </c>
      <c r="D3" t="s">
        <v>31</v>
      </c>
      <c r="E3" t="s">
        <v>22</v>
      </c>
      <c r="F3">
        <v>6</v>
      </c>
      <c r="H3" t="s">
        <v>23</v>
      </c>
      <c r="I3" t="s">
        <v>24</v>
      </c>
      <c r="J3" t="s">
        <v>32</v>
      </c>
      <c r="K3" t="s">
        <v>33</v>
      </c>
      <c r="L3">
        <v>4</v>
      </c>
      <c r="M3" t="s">
        <v>34</v>
      </c>
      <c r="N3" t="s">
        <v>35</v>
      </c>
      <c r="O3">
        <v>8.1999999999999993</v>
      </c>
      <c r="P3">
        <f t="shared" si="0"/>
        <v>4.8999999999999995</v>
      </c>
      <c r="Q3">
        <v>3</v>
      </c>
      <c r="R3">
        <v>3</v>
      </c>
      <c r="S3">
        <v>24</v>
      </c>
      <c r="T3" t="s">
        <v>36</v>
      </c>
    </row>
    <row r="4" spans="1:20" x14ac:dyDescent="0.35">
      <c r="A4">
        <v>1</v>
      </c>
      <c r="B4">
        <v>1</v>
      </c>
      <c r="C4" t="s">
        <v>20</v>
      </c>
      <c r="D4" t="s">
        <v>37</v>
      </c>
      <c r="E4" t="s">
        <v>22</v>
      </c>
      <c r="F4">
        <v>2</v>
      </c>
      <c r="H4" t="s">
        <v>23</v>
      </c>
      <c r="I4" t="s">
        <v>24</v>
      </c>
      <c r="J4">
        <v>74</v>
      </c>
      <c r="K4" t="s">
        <v>38</v>
      </c>
      <c r="L4">
        <v>4</v>
      </c>
      <c r="M4" t="s">
        <v>39</v>
      </c>
      <c r="N4" t="s">
        <v>40</v>
      </c>
      <c r="O4">
        <v>6.2</v>
      </c>
      <c r="P4">
        <f t="shared" si="0"/>
        <v>2.9000000000000004</v>
      </c>
      <c r="Q4" t="s">
        <v>41</v>
      </c>
      <c r="R4">
        <v>3</v>
      </c>
      <c r="S4">
        <v>17</v>
      </c>
      <c r="T4" t="s">
        <v>42</v>
      </c>
    </row>
    <row r="5" spans="1:20" x14ac:dyDescent="0.35">
      <c r="A5">
        <v>1</v>
      </c>
      <c r="B5">
        <v>1</v>
      </c>
      <c r="C5" t="s">
        <v>20</v>
      </c>
      <c r="D5" t="s">
        <v>43</v>
      </c>
      <c r="E5" t="s">
        <v>22</v>
      </c>
      <c r="F5">
        <v>3</v>
      </c>
      <c r="H5" t="s">
        <v>23</v>
      </c>
      <c r="I5" t="s">
        <v>24</v>
      </c>
      <c r="J5" t="s">
        <v>44</v>
      </c>
      <c r="K5" t="s">
        <v>45</v>
      </c>
      <c r="L5">
        <v>4</v>
      </c>
      <c r="M5" t="s">
        <v>46</v>
      </c>
      <c r="N5" t="s">
        <v>47</v>
      </c>
      <c r="O5">
        <v>17.600000000000001</v>
      </c>
      <c r="P5">
        <f t="shared" si="0"/>
        <v>14.3</v>
      </c>
      <c r="Q5" t="s">
        <v>48</v>
      </c>
      <c r="R5">
        <v>3</v>
      </c>
      <c r="S5">
        <v>48</v>
      </c>
      <c r="T5" t="s">
        <v>49</v>
      </c>
    </row>
    <row r="6" spans="1:20" x14ac:dyDescent="0.35">
      <c r="A6">
        <v>1</v>
      </c>
      <c r="B6">
        <v>1</v>
      </c>
      <c r="C6" t="s">
        <v>20</v>
      </c>
      <c r="D6" t="s">
        <v>50</v>
      </c>
      <c r="E6" t="s">
        <v>22</v>
      </c>
      <c r="F6">
        <v>4</v>
      </c>
      <c r="H6" t="s">
        <v>23</v>
      </c>
      <c r="I6" t="s">
        <v>24</v>
      </c>
      <c r="J6" t="s">
        <v>51</v>
      </c>
      <c r="K6" t="s">
        <v>52</v>
      </c>
      <c r="L6">
        <v>4</v>
      </c>
      <c r="M6" t="s">
        <v>53</v>
      </c>
      <c r="N6" t="s">
        <v>54</v>
      </c>
      <c r="O6">
        <v>5.9</v>
      </c>
      <c r="P6">
        <f t="shared" si="0"/>
        <v>2.6000000000000005</v>
      </c>
      <c r="Q6" t="s">
        <v>41</v>
      </c>
      <c r="R6">
        <v>3</v>
      </c>
      <c r="S6">
        <v>19</v>
      </c>
      <c r="T6" t="s">
        <v>55</v>
      </c>
    </row>
    <row r="7" spans="1:20" x14ac:dyDescent="0.35">
      <c r="A7">
        <v>1</v>
      </c>
      <c r="B7">
        <v>1</v>
      </c>
      <c r="C7" t="s">
        <v>20</v>
      </c>
      <c r="D7" t="s">
        <v>56</v>
      </c>
      <c r="E7" t="s">
        <v>22</v>
      </c>
      <c r="F7">
        <v>9</v>
      </c>
      <c r="H7" t="s">
        <v>23</v>
      </c>
      <c r="I7" t="s">
        <v>24</v>
      </c>
      <c r="J7">
        <v>7</v>
      </c>
      <c r="K7" t="s">
        <v>57</v>
      </c>
      <c r="L7">
        <v>4</v>
      </c>
      <c r="M7" t="s">
        <v>58</v>
      </c>
      <c r="N7" t="s">
        <v>59</v>
      </c>
      <c r="O7">
        <v>6.1</v>
      </c>
      <c r="P7">
        <f t="shared" si="0"/>
        <v>2.8</v>
      </c>
      <c r="Q7" t="s">
        <v>60</v>
      </c>
      <c r="R7">
        <v>3</v>
      </c>
      <c r="S7">
        <v>14</v>
      </c>
      <c r="T7" t="s">
        <v>42</v>
      </c>
    </row>
    <row r="8" spans="1:20" x14ac:dyDescent="0.35">
      <c r="A8">
        <v>1</v>
      </c>
      <c r="B8">
        <v>1</v>
      </c>
      <c r="C8" t="s">
        <v>20</v>
      </c>
      <c r="D8" t="s">
        <v>61</v>
      </c>
      <c r="E8" t="s">
        <v>22</v>
      </c>
      <c r="F8">
        <v>7</v>
      </c>
      <c r="H8" t="s">
        <v>23</v>
      </c>
      <c r="I8" t="s">
        <v>24</v>
      </c>
      <c r="J8">
        <v>159</v>
      </c>
      <c r="K8" t="s">
        <v>62</v>
      </c>
      <c r="L8">
        <v>4</v>
      </c>
      <c r="M8" t="s">
        <v>63</v>
      </c>
      <c r="N8" t="s">
        <v>64</v>
      </c>
      <c r="O8">
        <v>5.5</v>
      </c>
      <c r="P8">
        <f t="shared" si="0"/>
        <v>2.2000000000000002</v>
      </c>
      <c r="Q8">
        <v>2</v>
      </c>
      <c r="R8">
        <v>3</v>
      </c>
      <c r="S8">
        <v>14</v>
      </c>
      <c r="T8" t="s">
        <v>55</v>
      </c>
    </row>
    <row r="9" spans="1:20" x14ac:dyDescent="0.35">
      <c r="A9">
        <v>1</v>
      </c>
      <c r="B9">
        <v>8</v>
      </c>
      <c r="C9" t="s">
        <v>20</v>
      </c>
      <c r="D9" t="s">
        <v>65</v>
      </c>
      <c r="E9" t="s">
        <v>22</v>
      </c>
      <c r="F9">
        <v>8</v>
      </c>
      <c r="H9" t="s">
        <v>23</v>
      </c>
      <c r="I9" t="s">
        <v>24</v>
      </c>
      <c r="J9">
        <v>140</v>
      </c>
      <c r="K9" t="s">
        <v>66</v>
      </c>
      <c r="L9">
        <v>4</v>
      </c>
      <c r="M9" t="s">
        <v>67</v>
      </c>
      <c r="N9" t="s">
        <v>68</v>
      </c>
      <c r="O9">
        <v>6.9</v>
      </c>
      <c r="P9">
        <f t="shared" si="0"/>
        <v>3.6000000000000005</v>
      </c>
      <c r="Q9" t="s">
        <v>69</v>
      </c>
      <c r="R9">
        <v>3</v>
      </c>
      <c r="S9">
        <v>19</v>
      </c>
      <c r="T9" t="s">
        <v>42</v>
      </c>
    </row>
    <row r="10" spans="1:20" x14ac:dyDescent="0.35">
      <c r="A10">
        <v>1</v>
      </c>
      <c r="B10">
        <v>1</v>
      </c>
      <c r="C10" t="s">
        <v>20</v>
      </c>
      <c r="D10" t="s">
        <v>70</v>
      </c>
      <c r="E10" t="s">
        <v>22</v>
      </c>
      <c r="F10">
        <v>10</v>
      </c>
      <c r="H10" t="s">
        <v>23</v>
      </c>
      <c r="I10" t="s">
        <v>24</v>
      </c>
      <c r="J10" t="s">
        <v>71</v>
      </c>
      <c r="K10" t="s">
        <v>72</v>
      </c>
      <c r="L10">
        <v>4</v>
      </c>
      <c r="M10" t="s">
        <v>73</v>
      </c>
      <c r="N10" t="s">
        <v>74</v>
      </c>
      <c r="O10">
        <v>6.1</v>
      </c>
      <c r="P10">
        <f t="shared" si="0"/>
        <v>2.8</v>
      </c>
      <c r="Q10" t="s">
        <v>75</v>
      </c>
      <c r="R10">
        <v>3</v>
      </c>
      <c r="S10">
        <v>17</v>
      </c>
      <c r="T10" t="s">
        <v>42</v>
      </c>
    </row>
    <row r="11" spans="1:20" s="3" customFormat="1" x14ac:dyDescent="0.35">
      <c r="A11">
        <v>1</v>
      </c>
      <c r="B11">
        <v>1</v>
      </c>
      <c r="C11" s="3" t="s">
        <v>20</v>
      </c>
      <c r="D11" s="3" t="s">
        <v>76</v>
      </c>
      <c r="E11" s="3" t="s">
        <v>22</v>
      </c>
      <c r="H11" s="3" t="s">
        <v>23</v>
      </c>
      <c r="I11" s="3" t="s">
        <v>77</v>
      </c>
      <c r="J11" s="3" t="s">
        <v>78</v>
      </c>
      <c r="K11" s="3" t="s">
        <v>78</v>
      </c>
      <c r="L11" s="3">
        <v>4</v>
      </c>
      <c r="M11" s="3" t="s">
        <v>79</v>
      </c>
      <c r="N11" s="3" t="s">
        <v>80</v>
      </c>
      <c r="O11" s="3">
        <v>4.4000000000000004</v>
      </c>
      <c r="P11" s="3">
        <f t="shared" si="0"/>
        <v>1.1000000000000005</v>
      </c>
      <c r="Q11" s="3" t="s">
        <v>75</v>
      </c>
      <c r="R11" s="3">
        <v>3</v>
      </c>
      <c r="S11" s="3">
        <v>48</v>
      </c>
      <c r="T11" s="3" t="s">
        <v>81</v>
      </c>
    </row>
    <row r="12" spans="1:20" x14ac:dyDescent="0.35">
      <c r="A12">
        <v>1</v>
      </c>
      <c r="B12">
        <v>1</v>
      </c>
      <c r="C12" t="s">
        <v>20</v>
      </c>
      <c r="D12" t="s">
        <v>82</v>
      </c>
      <c r="E12" t="s">
        <v>22</v>
      </c>
      <c r="F12">
        <v>11</v>
      </c>
      <c r="H12" t="s">
        <v>23</v>
      </c>
      <c r="I12" t="s">
        <v>24</v>
      </c>
      <c r="J12" t="s">
        <v>83</v>
      </c>
      <c r="K12" t="s">
        <v>84</v>
      </c>
      <c r="L12">
        <v>4</v>
      </c>
      <c r="M12" t="s">
        <v>85</v>
      </c>
      <c r="N12" t="s">
        <v>86</v>
      </c>
      <c r="O12">
        <v>4.5999999999999996</v>
      </c>
      <c r="P12">
        <f t="shared" si="0"/>
        <v>1.2999999999999998</v>
      </c>
      <c r="Q12" t="s">
        <v>87</v>
      </c>
      <c r="R12">
        <v>3</v>
      </c>
      <c r="S12">
        <v>13</v>
      </c>
      <c r="T12" t="s">
        <v>88</v>
      </c>
    </row>
    <row r="13" spans="1:20" x14ac:dyDescent="0.35"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t="s">
        <v>9</v>
      </c>
      <c r="K13" t="s">
        <v>10</v>
      </c>
      <c r="L13" t="s">
        <v>11</v>
      </c>
      <c r="M13" t="s">
        <v>12</v>
      </c>
      <c r="N13" t="s">
        <v>13</v>
      </c>
      <c r="O13" t="s">
        <v>14</v>
      </c>
      <c r="Q13" t="s">
        <v>16</v>
      </c>
      <c r="R13" t="s">
        <v>17</v>
      </c>
      <c r="S13" t="s">
        <v>18</v>
      </c>
      <c r="T13" t="s">
        <v>19</v>
      </c>
    </row>
    <row r="14" spans="1:20" x14ac:dyDescent="0.35">
      <c r="A14">
        <v>1</v>
      </c>
      <c r="B14">
        <v>2</v>
      </c>
      <c r="C14" t="s">
        <v>89</v>
      </c>
      <c r="D14" t="s">
        <v>90</v>
      </c>
      <c r="E14" t="s">
        <v>22</v>
      </c>
      <c r="F14">
        <v>23</v>
      </c>
      <c r="H14" t="s">
        <v>23</v>
      </c>
      <c r="I14" t="s">
        <v>24</v>
      </c>
      <c r="J14" t="s">
        <v>91</v>
      </c>
      <c r="K14" t="s">
        <v>92</v>
      </c>
      <c r="L14">
        <v>4</v>
      </c>
      <c r="M14" t="s">
        <v>93</v>
      </c>
      <c r="N14" t="s">
        <v>94</v>
      </c>
      <c r="O14">
        <v>5.0999999999999996</v>
      </c>
      <c r="P14">
        <f t="shared" ref="P14:P34" si="1">O14-$M$80</f>
        <v>1.7999999999999998</v>
      </c>
      <c r="Q14" t="s">
        <v>60</v>
      </c>
      <c r="R14">
        <v>3</v>
      </c>
      <c r="S14">
        <v>16</v>
      </c>
      <c r="T14" t="s">
        <v>55</v>
      </c>
    </row>
    <row r="15" spans="1:20" s="3" customFormat="1" x14ac:dyDescent="0.35">
      <c r="A15">
        <v>1</v>
      </c>
      <c r="B15" s="3">
        <v>2</v>
      </c>
      <c r="C15" s="3" t="s">
        <v>89</v>
      </c>
      <c r="D15" s="3" t="s">
        <v>95</v>
      </c>
      <c r="E15" s="3" t="s">
        <v>22</v>
      </c>
      <c r="H15" s="3" t="s">
        <v>23</v>
      </c>
      <c r="I15" s="3" t="s">
        <v>77</v>
      </c>
      <c r="J15" s="3" t="s">
        <v>78</v>
      </c>
      <c r="K15" s="3" t="s">
        <v>78</v>
      </c>
      <c r="L15" s="3">
        <v>4</v>
      </c>
      <c r="M15" s="3" t="s">
        <v>79</v>
      </c>
      <c r="N15" s="3" t="s">
        <v>80</v>
      </c>
      <c r="O15" s="3">
        <v>5</v>
      </c>
      <c r="P15" s="3">
        <f t="shared" si="1"/>
        <v>1.7000000000000002</v>
      </c>
      <c r="Q15" s="3" t="s">
        <v>75</v>
      </c>
      <c r="R15" s="3">
        <v>3</v>
      </c>
      <c r="S15" s="3">
        <v>41</v>
      </c>
      <c r="T15" s="3" t="s">
        <v>88</v>
      </c>
    </row>
    <row r="16" spans="1:20" x14ac:dyDescent="0.35">
      <c r="A16">
        <v>1</v>
      </c>
      <c r="B16">
        <v>2</v>
      </c>
      <c r="C16" t="s">
        <v>89</v>
      </c>
      <c r="D16" t="s">
        <v>96</v>
      </c>
      <c r="E16" t="s">
        <v>22</v>
      </c>
      <c r="F16">
        <v>24</v>
      </c>
      <c r="H16" t="s">
        <v>23</v>
      </c>
      <c r="I16" t="s">
        <v>24</v>
      </c>
      <c r="J16" t="s">
        <v>97</v>
      </c>
      <c r="K16" t="s">
        <v>98</v>
      </c>
      <c r="L16">
        <v>4</v>
      </c>
      <c r="M16" t="s">
        <v>99</v>
      </c>
      <c r="N16">
        <v>43</v>
      </c>
      <c r="O16">
        <v>6.7</v>
      </c>
      <c r="P16">
        <f t="shared" si="1"/>
        <v>3.4000000000000004</v>
      </c>
      <c r="Q16" t="s">
        <v>100</v>
      </c>
      <c r="R16">
        <v>3</v>
      </c>
      <c r="S16">
        <v>20</v>
      </c>
      <c r="T16" t="s">
        <v>42</v>
      </c>
    </row>
    <row r="17" spans="1:20" x14ac:dyDescent="0.35">
      <c r="A17">
        <v>1</v>
      </c>
      <c r="B17">
        <v>2</v>
      </c>
      <c r="C17" t="s">
        <v>89</v>
      </c>
      <c r="D17" t="s">
        <v>101</v>
      </c>
      <c r="E17" t="s">
        <v>22</v>
      </c>
      <c r="F17">
        <v>13</v>
      </c>
      <c r="H17" t="s">
        <v>23</v>
      </c>
      <c r="I17" t="s">
        <v>24</v>
      </c>
      <c r="J17" t="s">
        <v>102</v>
      </c>
      <c r="K17" t="s">
        <v>103</v>
      </c>
      <c r="L17">
        <v>4</v>
      </c>
      <c r="M17">
        <v>136</v>
      </c>
      <c r="N17" t="s">
        <v>104</v>
      </c>
      <c r="O17">
        <v>6.1</v>
      </c>
      <c r="P17">
        <f t="shared" si="1"/>
        <v>2.8</v>
      </c>
      <c r="Q17" t="s">
        <v>41</v>
      </c>
      <c r="R17">
        <v>3</v>
      </c>
      <c r="S17">
        <v>17</v>
      </c>
      <c r="T17" t="s">
        <v>42</v>
      </c>
    </row>
    <row r="18" spans="1:20" x14ac:dyDescent="0.35">
      <c r="A18">
        <v>1</v>
      </c>
      <c r="B18">
        <v>2</v>
      </c>
      <c r="C18" t="s">
        <v>89</v>
      </c>
      <c r="D18" t="s">
        <v>105</v>
      </c>
      <c r="E18" t="s">
        <v>22</v>
      </c>
      <c r="F18">
        <v>6</v>
      </c>
      <c r="H18" t="s">
        <v>23</v>
      </c>
      <c r="I18" t="s">
        <v>24</v>
      </c>
      <c r="J18">
        <v>154</v>
      </c>
      <c r="K18">
        <v>27</v>
      </c>
      <c r="L18">
        <v>4</v>
      </c>
      <c r="M18" t="s">
        <v>106</v>
      </c>
      <c r="N18" t="s">
        <v>107</v>
      </c>
      <c r="O18">
        <v>11.7</v>
      </c>
      <c r="P18">
        <f t="shared" si="1"/>
        <v>8.3999999999999986</v>
      </c>
      <c r="Q18" t="s">
        <v>108</v>
      </c>
      <c r="R18">
        <v>3</v>
      </c>
      <c r="S18">
        <v>28</v>
      </c>
      <c r="T18" t="s">
        <v>109</v>
      </c>
    </row>
    <row r="19" spans="1:20" x14ac:dyDescent="0.35">
      <c r="A19">
        <v>1</v>
      </c>
      <c r="B19">
        <v>2</v>
      </c>
      <c r="C19" t="s">
        <v>89</v>
      </c>
      <c r="D19" t="s">
        <v>110</v>
      </c>
      <c r="E19" t="s">
        <v>22</v>
      </c>
      <c r="F19">
        <v>5</v>
      </c>
      <c r="H19" t="s">
        <v>23</v>
      </c>
      <c r="I19" t="s">
        <v>24</v>
      </c>
      <c r="J19" t="s">
        <v>111</v>
      </c>
      <c r="K19">
        <v>20</v>
      </c>
      <c r="L19">
        <v>4</v>
      </c>
      <c r="M19" t="s">
        <v>112</v>
      </c>
      <c r="N19" t="s">
        <v>113</v>
      </c>
      <c r="O19">
        <v>7.3</v>
      </c>
      <c r="P19">
        <f t="shared" si="1"/>
        <v>4</v>
      </c>
      <c r="Q19" t="s">
        <v>29</v>
      </c>
      <c r="R19">
        <v>3</v>
      </c>
      <c r="S19">
        <v>24</v>
      </c>
      <c r="T19" t="s">
        <v>30</v>
      </c>
    </row>
    <row r="20" spans="1:20" x14ac:dyDescent="0.35">
      <c r="A20">
        <v>1</v>
      </c>
      <c r="B20">
        <v>2</v>
      </c>
      <c r="C20" t="s">
        <v>89</v>
      </c>
      <c r="D20" t="s">
        <v>114</v>
      </c>
      <c r="E20" t="s">
        <v>22</v>
      </c>
      <c r="F20">
        <v>18</v>
      </c>
      <c r="H20" t="s">
        <v>23</v>
      </c>
      <c r="I20" t="s">
        <v>24</v>
      </c>
      <c r="J20" t="s">
        <v>115</v>
      </c>
      <c r="K20" t="s">
        <v>116</v>
      </c>
      <c r="L20">
        <v>4</v>
      </c>
      <c r="M20" t="s">
        <v>117</v>
      </c>
      <c r="N20" t="s">
        <v>64</v>
      </c>
      <c r="O20">
        <v>6.2</v>
      </c>
      <c r="P20">
        <f t="shared" si="1"/>
        <v>2.9000000000000004</v>
      </c>
      <c r="Q20" t="s">
        <v>118</v>
      </c>
      <c r="R20">
        <v>3</v>
      </c>
      <c r="S20">
        <v>17</v>
      </c>
      <c r="T20" t="s">
        <v>42</v>
      </c>
    </row>
    <row r="21" spans="1:20" x14ac:dyDescent="0.35">
      <c r="A21">
        <v>1</v>
      </c>
      <c r="B21">
        <v>2</v>
      </c>
      <c r="C21" t="s">
        <v>89</v>
      </c>
      <c r="D21" t="s">
        <v>119</v>
      </c>
      <c r="E21" t="s">
        <v>22</v>
      </c>
      <c r="F21">
        <v>8</v>
      </c>
      <c r="H21" t="s">
        <v>23</v>
      </c>
      <c r="I21" t="s">
        <v>24</v>
      </c>
      <c r="J21" t="s">
        <v>120</v>
      </c>
      <c r="K21" t="s">
        <v>47</v>
      </c>
      <c r="L21">
        <v>4</v>
      </c>
      <c r="M21" t="s">
        <v>121</v>
      </c>
      <c r="N21" t="s">
        <v>122</v>
      </c>
      <c r="O21">
        <v>6.4</v>
      </c>
      <c r="P21">
        <f t="shared" si="1"/>
        <v>3.1000000000000005</v>
      </c>
      <c r="Q21" t="s">
        <v>41</v>
      </c>
      <c r="R21">
        <v>3</v>
      </c>
      <c r="S21">
        <v>17</v>
      </c>
      <c r="T21" t="s">
        <v>42</v>
      </c>
    </row>
    <row r="22" spans="1:20" x14ac:dyDescent="0.35">
      <c r="A22">
        <v>1</v>
      </c>
      <c r="B22">
        <v>2</v>
      </c>
      <c r="C22" t="s">
        <v>89</v>
      </c>
      <c r="D22" t="s">
        <v>123</v>
      </c>
      <c r="E22" t="s">
        <v>22</v>
      </c>
      <c r="F22">
        <v>21</v>
      </c>
      <c r="H22" t="s">
        <v>23</v>
      </c>
      <c r="I22" t="s">
        <v>24</v>
      </c>
      <c r="J22">
        <v>20</v>
      </c>
      <c r="K22" t="s">
        <v>124</v>
      </c>
      <c r="L22">
        <v>4</v>
      </c>
      <c r="M22" t="s">
        <v>125</v>
      </c>
      <c r="N22" t="s">
        <v>126</v>
      </c>
      <c r="O22">
        <v>4.5</v>
      </c>
      <c r="P22">
        <f t="shared" si="1"/>
        <v>1.2000000000000002</v>
      </c>
      <c r="Q22" t="s">
        <v>127</v>
      </c>
      <c r="R22">
        <v>3</v>
      </c>
      <c r="S22">
        <v>11</v>
      </c>
      <c r="T22" t="s">
        <v>88</v>
      </c>
    </row>
    <row r="23" spans="1:20" x14ac:dyDescent="0.35">
      <c r="A23">
        <v>1</v>
      </c>
      <c r="B23">
        <v>2</v>
      </c>
      <c r="C23" t="s">
        <v>89</v>
      </c>
      <c r="D23" t="s">
        <v>128</v>
      </c>
      <c r="E23" t="s">
        <v>22</v>
      </c>
      <c r="F23">
        <v>22</v>
      </c>
      <c r="H23" t="s">
        <v>23</v>
      </c>
      <c r="I23" t="s">
        <v>24</v>
      </c>
      <c r="J23" t="s">
        <v>129</v>
      </c>
      <c r="K23" t="s">
        <v>130</v>
      </c>
      <c r="L23">
        <v>4</v>
      </c>
      <c r="M23" t="s">
        <v>131</v>
      </c>
      <c r="N23" t="s">
        <v>47</v>
      </c>
      <c r="O23">
        <v>5</v>
      </c>
      <c r="P23">
        <f t="shared" si="1"/>
        <v>1.7000000000000002</v>
      </c>
      <c r="Q23" t="s">
        <v>132</v>
      </c>
      <c r="R23">
        <v>3</v>
      </c>
      <c r="S23">
        <v>13</v>
      </c>
      <c r="T23" t="s">
        <v>55</v>
      </c>
    </row>
    <row r="24" spans="1:20" x14ac:dyDescent="0.35">
      <c r="A24">
        <v>1</v>
      </c>
      <c r="B24">
        <v>2</v>
      </c>
      <c r="C24" t="s">
        <v>89</v>
      </c>
      <c r="D24" t="s">
        <v>133</v>
      </c>
      <c r="E24" t="s">
        <v>22</v>
      </c>
      <c r="F24">
        <v>9</v>
      </c>
      <c r="H24" t="s">
        <v>23</v>
      </c>
      <c r="I24" t="s">
        <v>24</v>
      </c>
      <c r="J24" t="s">
        <v>134</v>
      </c>
      <c r="K24" t="s">
        <v>135</v>
      </c>
      <c r="L24">
        <v>4</v>
      </c>
      <c r="M24" t="s">
        <v>136</v>
      </c>
      <c r="N24">
        <v>53</v>
      </c>
      <c r="O24">
        <v>6.5</v>
      </c>
      <c r="P24">
        <f t="shared" si="1"/>
        <v>3.2</v>
      </c>
      <c r="Q24" t="s">
        <v>69</v>
      </c>
      <c r="R24">
        <v>3</v>
      </c>
      <c r="S24">
        <v>22</v>
      </c>
      <c r="T24" t="s">
        <v>42</v>
      </c>
    </row>
    <row r="25" spans="1:20" x14ac:dyDescent="0.35">
      <c r="A25">
        <v>1</v>
      </c>
      <c r="B25">
        <v>2</v>
      </c>
      <c r="C25" t="s">
        <v>89</v>
      </c>
      <c r="D25" t="s">
        <v>137</v>
      </c>
      <c r="E25" t="s">
        <v>22</v>
      </c>
      <c r="F25">
        <v>11</v>
      </c>
      <c r="H25" t="s">
        <v>23</v>
      </c>
      <c r="I25" t="s">
        <v>24</v>
      </c>
      <c r="J25" t="s">
        <v>138</v>
      </c>
      <c r="K25" t="s">
        <v>139</v>
      </c>
      <c r="L25">
        <v>4</v>
      </c>
      <c r="M25" t="s">
        <v>140</v>
      </c>
      <c r="N25">
        <v>48</v>
      </c>
      <c r="O25">
        <v>6.3</v>
      </c>
      <c r="P25">
        <f t="shared" si="1"/>
        <v>3</v>
      </c>
      <c r="Q25" t="s">
        <v>141</v>
      </c>
      <c r="R25">
        <v>3</v>
      </c>
      <c r="S25">
        <v>17</v>
      </c>
      <c r="T25" t="s">
        <v>42</v>
      </c>
    </row>
    <row r="26" spans="1:20" x14ac:dyDescent="0.35">
      <c r="A26">
        <v>1</v>
      </c>
      <c r="B26">
        <v>2</v>
      </c>
      <c r="C26" t="s">
        <v>89</v>
      </c>
      <c r="D26" t="s">
        <v>142</v>
      </c>
      <c r="E26" t="s">
        <v>22</v>
      </c>
      <c r="F26">
        <v>25</v>
      </c>
      <c r="H26" t="s">
        <v>23</v>
      </c>
      <c r="I26" t="s">
        <v>24</v>
      </c>
      <c r="J26" t="s">
        <v>143</v>
      </c>
      <c r="K26" t="s">
        <v>144</v>
      </c>
      <c r="L26">
        <v>4</v>
      </c>
      <c r="M26" t="s">
        <v>98</v>
      </c>
      <c r="N26" t="s">
        <v>145</v>
      </c>
      <c r="O26">
        <v>4.5999999999999996</v>
      </c>
      <c r="P26">
        <f t="shared" si="1"/>
        <v>1.2999999999999998</v>
      </c>
      <c r="Q26" t="s">
        <v>146</v>
      </c>
      <c r="R26">
        <v>3</v>
      </c>
      <c r="S26">
        <v>11</v>
      </c>
      <c r="T26" t="s">
        <v>88</v>
      </c>
    </row>
    <row r="27" spans="1:20" x14ac:dyDescent="0.35">
      <c r="A27">
        <v>1</v>
      </c>
      <c r="B27">
        <v>2</v>
      </c>
      <c r="C27" t="s">
        <v>89</v>
      </c>
      <c r="D27" t="s">
        <v>147</v>
      </c>
      <c r="E27" t="s">
        <v>22</v>
      </c>
      <c r="F27">
        <v>7</v>
      </c>
      <c r="H27" t="s">
        <v>23</v>
      </c>
      <c r="I27" t="s">
        <v>24</v>
      </c>
      <c r="J27" t="s">
        <v>108</v>
      </c>
      <c r="K27" t="s">
        <v>148</v>
      </c>
      <c r="L27">
        <v>4</v>
      </c>
      <c r="M27" t="s">
        <v>149</v>
      </c>
      <c r="N27" t="s">
        <v>150</v>
      </c>
      <c r="O27">
        <v>6.2</v>
      </c>
      <c r="P27">
        <f t="shared" si="1"/>
        <v>2.9000000000000004</v>
      </c>
      <c r="Q27">
        <v>2</v>
      </c>
      <c r="R27">
        <v>3</v>
      </c>
      <c r="S27">
        <v>15</v>
      </c>
      <c r="T27" t="s">
        <v>42</v>
      </c>
    </row>
    <row r="28" spans="1:20" x14ac:dyDescent="0.35">
      <c r="A28">
        <v>1</v>
      </c>
      <c r="B28">
        <v>2</v>
      </c>
      <c r="C28" t="s">
        <v>89</v>
      </c>
      <c r="D28" t="s">
        <v>151</v>
      </c>
      <c r="E28" t="s">
        <v>22</v>
      </c>
      <c r="F28">
        <v>19</v>
      </c>
      <c r="H28" t="s">
        <v>23</v>
      </c>
      <c r="I28" t="s">
        <v>24</v>
      </c>
      <c r="J28">
        <v>84</v>
      </c>
      <c r="K28" t="s">
        <v>152</v>
      </c>
      <c r="L28">
        <v>4</v>
      </c>
      <c r="M28" t="s">
        <v>153</v>
      </c>
      <c r="N28" t="s">
        <v>154</v>
      </c>
      <c r="O28">
        <v>6.8</v>
      </c>
      <c r="P28">
        <f t="shared" si="1"/>
        <v>3.5</v>
      </c>
      <c r="Q28" t="s">
        <v>69</v>
      </c>
      <c r="R28">
        <v>3</v>
      </c>
      <c r="S28">
        <v>18</v>
      </c>
      <c r="T28" t="s">
        <v>42</v>
      </c>
    </row>
    <row r="29" spans="1:20" x14ac:dyDescent="0.35">
      <c r="A29">
        <v>1</v>
      </c>
      <c r="B29">
        <v>2</v>
      </c>
      <c r="C29" t="s">
        <v>89</v>
      </c>
      <c r="D29" t="s">
        <v>155</v>
      </c>
      <c r="E29" t="s">
        <v>22</v>
      </c>
      <c r="F29">
        <v>15</v>
      </c>
      <c r="H29" t="s">
        <v>23</v>
      </c>
      <c r="I29" t="s">
        <v>24</v>
      </c>
      <c r="J29" t="s">
        <v>156</v>
      </c>
      <c r="K29">
        <v>86</v>
      </c>
      <c r="L29">
        <v>4</v>
      </c>
      <c r="M29" t="s">
        <v>157</v>
      </c>
      <c r="N29" t="s">
        <v>158</v>
      </c>
      <c r="O29">
        <v>8.6999999999999993</v>
      </c>
      <c r="P29">
        <f t="shared" si="1"/>
        <v>5.3999999999999995</v>
      </c>
      <c r="Q29" t="s">
        <v>159</v>
      </c>
      <c r="R29">
        <v>3</v>
      </c>
      <c r="S29">
        <v>27</v>
      </c>
      <c r="T29" t="s">
        <v>36</v>
      </c>
    </row>
    <row r="30" spans="1:20" x14ac:dyDescent="0.35">
      <c r="A30">
        <v>1</v>
      </c>
      <c r="B30">
        <v>2</v>
      </c>
      <c r="C30" t="s">
        <v>89</v>
      </c>
      <c r="D30" t="s">
        <v>160</v>
      </c>
      <c r="E30" t="s">
        <v>22</v>
      </c>
      <c r="F30">
        <v>14</v>
      </c>
      <c r="H30" t="s">
        <v>23</v>
      </c>
      <c r="I30" t="s">
        <v>24</v>
      </c>
      <c r="J30" t="s">
        <v>161</v>
      </c>
      <c r="K30" t="s">
        <v>162</v>
      </c>
      <c r="L30">
        <v>4</v>
      </c>
      <c r="M30" t="s">
        <v>163</v>
      </c>
      <c r="N30" t="s">
        <v>54</v>
      </c>
      <c r="O30">
        <v>5.4</v>
      </c>
      <c r="P30">
        <f t="shared" si="1"/>
        <v>2.1000000000000005</v>
      </c>
      <c r="Q30" t="s">
        <v>164</v>
      </c>
      <c r="R30">
        <v>3</v>
      </c>
      <c r="S30">
        <v>14</v>
      </c>
      <c r="T30" t="s">
        <v>55</v>
      </c>
    </row>
    <row r="31" spans="1:20" x14ac:dyDescent="0.35">
      <c r="A31">
        <v>1</v>
      </c>
      <c r="B31">
        <v>2</v>
      </c>
      <c r="C31" t="s">
        <v>89</v>
      </c>
      <c r="D31" t="s">
        <v>165</v>
      </c>
      <c r="E31" t="s">
        <v>22</v>
      </c>
      <c r="F31">
        <v>16</v>
      </c>
      <c r="H31" t="s">
        <v>23</v>
      </c>
      <c r="I31" t="s">
        <v>24</v>
      </c>
      <c r="J31" t="s">
        <v>166</v>
      </c>
      <c r="K31" t="s">
        <v>167</v>
      </c>
      <c r="L31">
        <v>4</v>
      </c>
      <c r="M31">
        <v>167</v>
      </c>
      <c r="N31" t="s">
        <v>168</v>
      </c>
      <c r="O31">
        <v>5.8</v>
      </c>
      <c r="P31">
        <f t="shared" si="1"/>
        <v>2.5</v>
      </c>
      <c r="Q31" t="s">
        <v>118</v>
      </c>
      <c r="R31">
        <v>3</v>
      </c>
      <c r="S31">
        <v>17</v>
      </c>
      <c r="T31" t="s">
        <v>55</v>
      </c>
    </row>
    <row r="32" spans="1:20" x14ac:dyDescent="0.35">
      <c r="A32">
        <v>1</v>
      </c>
      <c r="B32">
        <v>2</v>
      </c>
      <c r="C32" t="s">
        <v>89</v>
      </c>
      <c r="D32" t="s">
        <v>169</v>
      </c>
      <c r="E32" t="s">
        <v>22</v>
      </c>
      <c r="F32">
        <v>10</v>
      </c>
      <c r="H32" t="s">
        <v>23</v>
      </c>
      <c r="I32" t="s">
        <v>24</v>
      </c>
      <c r="J32" t="s">
        <v>170</v>
      </c>
      <c r="K32" t="s">
        <v>171</v>
      </c>
      <c r="L32">
        <v>4</v>
      </c>
      <c r="M32" t="s">
        <v>172</v>
      </c>
      <c r="N32" t="s">
        <v>173</v>
      </c>
      <c r="O32">
        <v>5.3</v>
      </c>
      <c r="P32">
        <f t="shared" si="1"/>
        <v>2</v>
      </c>
      <c r="Q32" t="s">
        <v>87</v>
      </c>
      <c r="R32">
        <v>3</v>
      </c>
      <c r="S32">
        <v>11</v>
      </c>
      <c r="T32" t="s">
        <v>55</v>
      </c>
    </row>
    <row r="33" spans="1:20" x14ac:dyDescent="0.35">
      <c r="A33">
        <v>1</v>
      </c>
      <c r="B33">
        <v>2</v>
      </c>
      <c r="C33" t="s">
        <v>89</v>
      </c>
      <c r="D33" t="s">
        <v>174</v>
      </c>
      <c r="E33" t="s">
        <v>22</v>
      </c>
      <c r="F33">
        <v>17</v>
      </c>
      <c r="H33" t="s">
        <v>23</v>
      </c>
      <c r="I33" t="s">
        <v>24</v>
      </c>
      <c r="J33" t="s">
        <v>175</v>
      </c>
      <c r="K33" t="s">
        <v>176</v>
      </c>
      <c r="L33">
        <v>4</v>
      </c>
      <c r="M33" t="s">
        <v>177</v>
      </c>
      <c r="N33" t="s">
        <v>178</v>
      </c>
      <c r="O33">
        <v>6.4</v>
      </c>
      <c r="P33">
        <f t="shared" si="1"/>
        <v>3.1000000000000005</v>
      </c>
      <c r="Q33" t="s">
        <v>41</v>
      </c>
      <c r="R33">
        <v>3</v>
      </c>
      <c r="S33">
        <v>16</v>
      </c>
      <c r="T33" t="s">
        <v>42</v>
      </c>
    </row>
    <row r="34" spans="1:20" x14ac:dyDescent="0.35">
      <c r="A34">
        <v>1</v>
      </c>
      <c r="B34">
        <v>2</v>
      </c>
      <c r="C34" t="s">
        <v>89</v>
      </c>
      <c r="D34" t="s">
        <v>179</v>
      </c>
      <c r="E34" t="s">
        <v>22</v>
      </c>
      <c r="F34">
        <v>20</v>
      </c>
      <c r="H34" t="s">
        <v>23</v>
      </c>
      <c r="I34" t="s">
        <v>24</v>
      </c>
      <c r="J34" t="s">
        <v>180</v>
      </c>
      <c r="K34" t="s">
        <v>181</v>
      </c>
      <c r="L34">
        <v>4</v>
      </c>
      <c r="M34" t="s">
        <v>182</v>
      </c>
      <c r="N34">
        <v>50</v>
      </c>
      <c r="O34">
        <v>5.9</v>
      </c>
      <c r="P34">
        <f t="shared" si="1"/>
        <v>2.6000000000000005</v>
      </c>
      <c r="Q34" t="s">
        <v>183</v>
      </c>
      <c r="R34">
        <v>3</v>
      </c>
      <c r="S34">
        <v>15</v>
      </c>
      <c r="T34" t="s">
        <v>42</v>
      </c>
    </row>
    <row r="36" spans="1:20" x14ac:dyDescent="0.35"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7</v>
      </c>
      <c r="I36" t="s">
        <v>8</v>
      </c>
      <c r="J36" t="s">
        <v>9</v>
      </c>
      <c r="K36" t="s">
        <v>10</v>
      </c>
      <c r="L36" t="s">
        <v>11</v>
      </c>
      <c r="M36" t="s">
        <v>12</v>
      </c>
      <c r="N36" t="s">
        <v>13</v>
      </c>
      <c r="O36" t="s">
        <v>14</v>
      </c>
      <c r="Q36" t="s">
        <v>16</v>
      </c>
      <c r="R36" t="s">
        <v>17</v>
      </c>
      <c r="S36" t="s">
        <v>18</v>
      </c>
      <c r="T36" t="s">
        <v>19</v>
      </c>
    </row>
    <row r="37" spans="1:20" x14ac:dyDescent="0.35">
      <c r="A37">
        <v>2</v>
      </c>
      <c r="B37">
        <v>1</v>
      </c>
      <c r="C37" t="s">
        <v>184</v>
      </c>
      <c r="D37" t="s">
        <v>185</v>
      </c>
      <c r="E37" t="s">
        <v>22</v>
      </c>
      <c r="F37">
        <v>3</v>
      </c>
      <c r="H37" t="s">
        <v>23</v>
      </c>
      <c r="I37" t="s">
        <v>24</v>
      </c>
      <c r="J37" t="s">
        <v>186</v>
      </c>
      <c r="K37" t="s">
        <v>187</v>
      </c>
      <c r="L37">
        <v>4</v>
      </c>
      <c r="M37" t="s">
        <v>188</v>
      </c>
      <c r="N37" t="s">
        <v>54</v>
      </c>
      <c r="O37">
        <v>9.8000000000000007</v>
      </c>
      <c r="P37">
        <f t="shared" ref="P37:P55" si="2">O37-$M$80</f>
        <v>6.5000000000000009</v>
      </c>
      <c r="Q37">
        <v>3</v>
      </c>
      <c r="R37">
        <v>3</v>
      </c>
      <c r="S37">
        <v>23</v>
      </c>
      <c r="T37" t="s">
        <v>189</v>
      </c>
    </row>
    <row r="38" spans="1:20" x14ac:dyDescent="0.35">
      <c r="A38">
        <v>2</v>
      </c>
      <c r="B38">
        <v>1</v>
      </c>
      <c r="C38" t="s">
        <v>184</v>
      </c>
      <c r="D38" t="s">
        <v>190</v>
      </c>
      <c r="E38" t="s">
        <v>22</v>
      </c>
      <c r="F38">
        <v>7</v>
      </c>
      <c r="H38" t="s">
        <v>23</v>
      </c>
      <c r="I38" t="s">
        <v>24</v>
      </c>
      <c r="J38" t="s">
        <v>191</v>
      </c>
      <c r="K38">
        <v>43</v>
      </c>
      <c r="L38">
        <v>4</v>
      </c>
      <c r="M38" t="s">
        <v>192</v>
      </c>
      <c r="N38" t="s">
        <v>59</v>
      </c>
      <c r="O38">
        <v>9</v>
      </c>
      <c r="P38">
        <f t="shared" si="2"/>
        <v>5.7</v>
      </c>
      <c r="Q38" t="s">
        <v>29</v>
      </c>
      <c r="R38">
        <v>3</v>
      </c>
      <c r="S38">
        <v>22</v>
      </c>
      <c r="T38" t="s">
        <v>189</v>
      </c>
    </row>
    <row r="39" spans="1:20" x14ac:dyDescent="0.35">
      <c r="A39">
        <v>2</v>
      </c>
      <c r="B39">
        <v>1</v>
      </c>
      <c r="C39" t="s">
        <v>184</v>
      </c>
      <c r="D39" t="s">
        <v>193</v>
      </c>
      <c r="E39" t="s">
        <v>22</v>
      </c>
      <c r="F39">
        <v>15</v>
      </c>
      <c r="H39" t="s">
        <v>23</v>
      </c>
      <c r="I39" t="s">
        <v>24</v>
      </c>
      <c r="J39" t="s">
        <v>194</v>
      </c>
      <c r="K39" t="s">
        <v>195</v>
      </c>
      <c r="L39">
        <v>4</v>
      </c>
      <c r="M39">
        <v>161</v>
      </c>
      <c r="N39" t="s">
        <v>196</v>
      </c>
      <c r="O39">
        <v>10.199999999999999</v>
      </c>
      <c r="P39">
        <f t="shared" si="2"/>
        <v>6.8999999999999995</v>
      </c>
      <c r="Q39" t="s">
        <v>197</v>
      </c>
      <c r="R39">
        <v>4</v>
      </c>
      <c r="S39">
        <v>23</v>
      </c>
      <c r="T39" t="s">
        <v>198</v>
      </c>
    </row>
    <row r="40" spans="1:20" x14ac:dyDescent="0.35">
      <c r="A40">
        <v>2</v>
      </c>
      <c r="B40">
        <v>1</v>
      </c>
      <c r="C40" t="s">
        <v>184</v>
      </c>
      <c r="D40" t="s">
        <v>199</v>
      </c>
      <c r="E40" t="s">
        <v>22</v>
      </c>
      <c r="F40">
        <v>17</v>
      </c>
      <c r="H40" t="s">
        <v>23</v>
      </c>
      <c r="I40" t="s">
        <v>24</v>
      </c>
      <c r="J40" t="s">
        <v>200</v>
      </c>
      <c r="K40" t="s">
        <v>201</v>
      </c>
      <c r="L40">
        <v>4</v>
      </c>
      <c r="M40">
        <v>104</v>
      </c>
      <c r="N40" t="s">
        <v>202</v>
      </c>
      <c r="O40">
        <v>8.1</v>
      </c>
      <c r="P40">
        <f t="shared" si="2"/>
        <v>4.8</v>
      </c>
      <c r="Q40" t="s">
        <v>203</v>
      </c>
      <c r="R40">
        <v>3</v>
      </c>
      <c r="S40">
        <v>21</v>
      </c>
      <c r="T40" t="s">
        <v>36</v>
      </c>
    </row>
    <row r="41" spans="1:20" x14ac:dyDescent="0.35">
      <c r="A41">
        <v>2</v>
      </c>
      <c r="B41">
        <v>1</v>
      </c>
      <c r="C41" t="s">
        <v>184</v>
      </c>
      <c r="D41" t="s">
        <v>204</v>
      </c>
      <c r="E41" t="s">
        <v>22</v>
      </c>
      <c r="F41">
        <v>6</v>
      </c>
      <c r="H41" t="s">
        <v>23</v>
      </c>
      <c r="I41" t="s">
        <v>24</v>
      </c>
      <c r="J41" t="s">
        <v>162</v>
      </c>
      <c r="K41" t="s">
        <v>205</v>
      </c>
      <c r="L41">
        <v>4</v>
      </c>
      <c r="M41">
        <v>144</v>
      </c>
      <c r="N41" t="s">
        <v>206</v>
      </c>
      <c r="O41">
        <v>9</v>
      </c>
      <c r="P41">
        <f t="shared" si="2"/>
        <v>5.7</v>
      </c>
      <c r="Q41" t="s">
        <v>81</v>
      </c>
      <c r="R41">
        <v>3</v>
      </c>
      <c r="S41">
        <v>27</v>
      </c>
      <c r="T41" t="s">
        <v>189</v>
      </c>
    </row>
    <row r="42" spans="1:20" s="3" customFormat="1" x14ac:dyDescent="0.35">
      <c r="A42" s="3">
        <v>2</v>
      </c>
      <c r="B42" s="3">
        <v>1</v>
      </c>
      <c r="C42" s="3" t="s">
        <v>184</v>
      </c>
      <c r="D42" s="3" t="s">
        <v>207</v>
      </c>
      <c r="E42" s="3" t="s">
        <v>22</v>
      </c>
      <c r="H42" s="3" t="s">
        <v>23</v>
      </c>
      <c r="I42" s="3" t="s">
        <v>77</v>
      </c>
      <c r="J42" s="3" t="s">
        <v>78</v>
      </c>
      <c r="K42" s="3" t="s">
        <v>78</v>
      </c>
      <c r="L42" s="3">
        <v>4</v>
      </c>
      <c r="M42" s="3" t="s">
        <v>79</v>
      </c>
      <c r="N42" s="3" t="s">
        <v>80</v>
      </c>
      <c r="O42" s="3">
        <v>5.5</v>
      </c>
      <c r="P42" s="3">
        <f t="shared" si="2"/>
        <v>2.2000000000000002</v>
      </c>
      <c r="Q42" s="3" t="s">
        <v>29</v>
      </c>
      <c r="R42" s="3">
        <v>3</v>
      </c>
      <c r="S42" s="3">
        <v>129</v>
      </c>
      <c r="T42" s="3" t="s">
        <v>88</v>
      </c>
    </row>
    <row r="43" spans="1:20" x14ac:dyDescent="0.35">
      <c r="A43">
        <v>2</v>
      </c>
      <c r="B43">
        <v>1</v>
      </c>
      <c r="C43" t="s">
        <v>184</v>
      </c>
      <c r="D43" t="s">
        <v>208</v>
      </c>
      <c r="E43" t="s">
        <v>22</v>
      </c>
      <c r="F43">
        <v>8</v>
      </c>
      <c r="H43" t="s">
        <v>23</v>
      </c>
      <c r="I43" t="s">
        <v>24</v>
      </c>
      <c r="J43" t="s">
        <v>209</v>
      </c>
      <c r="K43" t="s">
        <v>210</v>
      </c>
      <c r="L43">
        <v>4</v>
      </c>
      <c r="M43" t="s">
        <v>211</v>
      </c>
      <c r="N43">
        <v>38</v>
      </c>
      <c r="O43">
        <v>9.6999999999999993</v>
      </c>
      <c r="P43">
        <f t="shared" si="2"/>
        <v>6.3999999999999995</v>
      </c>
      <c r="Q43" t="s">
        <v>170</v>
      </c>
      <c r="R43">
        <v>4</v>
      </c>
      <c r="S43">
        <v>22</v>
      </c>
      <c r="T43" t="s">
        <v>189</v>
      </c>
    </row>
    <row r="44" spans="1:20" x14ac:dyDescent="0.35">
      <c r="A44">
        <v>2</v>
      </c>
      <c r="B44">
        <v>1</v>
      </c>
      <c r="C44" t="s">
        <v>184</v>
      </c>
      <c r="D44" t="s">
        <v>212</v>
      </c>
      <c r="E44" t="s">
        <v>22</v>
      </c>
      <c r="F44">
        <v>5</v>
      </c>
      <c r="H44" t="s">
        <v>23</v>
      </c>
      <c r="I44" t="s">
        <v>24</v>
      </c>
      <c r="J44">
        <v>96</v>
      </c>
      <c r="K44" t="s">
        <v>213</v>
      </c>
      <c r="L44">
        <v>4</v>
      </c>
      <c r="M44" t="s">
        <v>214</v>
      </c>
      <c r="N44" t="s">
        <v>158</v>
      </c>
      <c r="O44">
        <v>9.6</v>
      </c>
      <c r="P44">
        <f t="shared" si="2"/>
        <v>6.3</v>
      </c>
      <c r="Q44" t="s">
        <v>108</v>
      </c>
      <c r="R44">
        <v>3</v>
      </c>
      <c r="S44">
        <v>30</v>
      </c>
      <c r="T44" t="s">
        <v>189</v>
      </c>
    </row>
    <row r="45" spans="1:20" x14ac:dyDescent="0.35">
      <c r="A45">
        <v>2</v>
      </c>
      <c r="B45">
        <v>1</v>
      </c>
      <c r="C45" t="s">
        <v>184</v>
      </c>
      <c r="D45" t="s">
        <v>215</v>
      </c>
      <c r="E45" t="s">
        <v>22</v>
      </c>
      <c r="F45">
        <v>2</v>
      </c>
      <c r="H45" t="s">
        <v>23</v>
      </c>
      <c r="I45" t="s">
        <v>24</v>
      </c>
      <c r="J45" t="s">
        <v>216</v>
      </c>
      <c r="K45" t="s">
        <v>217</v>
      </c>
      <c r="L45">
        <v>4</v>
      </c>
      <c r="M45" t="s">
        <v>218</v>
      </c>
      <c r="N45" t="s">
        <v>219</v>
      </c>
      <c r="O45">
        <v>10.7</v>
      </c>
      <c r="P45">
        <f t="shared" si="2"/>
        <v>7.3999999999999995</v>
      </c>
      <c r="Q45" t="s">
        <v>220</v>
      </c>
      <c r="R45">
        <v>3</v>
      </c>
      <c r="S45">
        <v>29</v>
      </c>
      <c r="T45" t="s">
        <v>198</v>
      </c>
    </row>
    <row r="46" spans="1:20" x14ac:dyDescent="0.35">
      <c r="A46">
        <v>2</v>
      </c>
      <c r="B46">
        <v>1</v>
      </c>
      <c r="C46" t="s">
        <v>184</v>
      </c>
      <c r="D46" t="s">
        <v>221</v>
      </c>
      <c r="E46" t="s">
        <v>22</v>
      </c>
      <c r="F46">
        <v>13</v>
      </c>
      <c r="H46" t="s">
        <v>23</v>
      </c>
      <c r="I46" t="s">
        <v>24</v>
      </c>
      <c r="J46" t="s">
        <v>222</v>
      </c>
      <c r="K46" t="s">
        <v>223</v>
      </c>
      <c r="L46">
        <v>4</v>
      </c>
      <c r="M46" t="s">
        <v>224</v>
      </c>
      <c r="N46" t="s">
        <v>225</v>
      </c>
      <c r="O46">
        <v>8.1999999999999993</v>
      </c>
      <c r="P46">
        <f t="shared" si="2"/>
        <v>4.8999999999999995</v>
      </c>
      <c r="Q46" t="s">
        <v>203</v>
      </c>
      <c r="R46">
        <v>3</v>
      </c>
      <c r="S46">
        <v>20</v>
      </c>
      <c r="T46" t="s">
        <v>36</v>
      </c>
    </row>
    <row r="47" spans="1:20" x14ac:dyDescent="0.35">
      <c r="A47">
        <v>2</v>
      </c>
      <c r="B47">
        <v>1</v>
      </c>
      <c r="C47" t="s">
        <v>184</v>
      </c>
      <c r="D47" t="s">
        <v>226</v>
      </c>
      <c r="E47" t="s">
        <v>22</v>
      </c>
      <c r="F47">
        <v>16</v>
      </c>
      <c r="H47" t="s">
        <v>23</v>
      </c>
      <c r="I47" t="s">
        <v>24</v>
      </c>
      <c r="J47" t="s">
        <v>227</v>
      </c>
      <c r="K47" t="s">
        <v>228</v>
      </c>
      <c r="L47">
        <v>4</v>
      </c>
      <c r="M47" t="s">
        <v>229</v>
      </c>
      <c r="N47" t="s">
        <v>230</v>
      </c>
      <c r="O47">
        <v>7.3</v>
      </c>
      <c r="P47">
        <f t="shared" si="2"/>
        <v>4</v>
      </c>
      <c r="Q47" t="s">
        <v>69</v>
      </c>
      <c r="R47">
        <v>3</v>
      </c>
      <c r="S47">
        <v>22</v>
      </c>
      <c r="T47" t="s">
        <v>30</v>
      </c>
    </row>
    <row r="48" spans="1:20" x14ac:dyDescent="0.35">
      <c r="A48">
        <v>2</v>
      </c>
      <c r="B48">
        <v>1</v>
      </c>
      <c r="C48" t="s">
        <v>184</v>
      </c>
      <c r="D48" t="s">
        <v>231</v>
      </c>
      <c r="E48" t="s">
        <v>22</v>
      </c>
      <c r="F48">
        <v>18</v>
      </c>
      <c r="H48" t="s">
        <v>23</v>
      </c>
      <c r="I48" t="s">
        <v>24</v>
      </c>
      <c r="J48" t="s">
        <v>232</v>
      </c>
      <c r="K48" t="s">
        <v>233</v>
      </c>
      <c r="L48">
        <v>4</v>
      </c>
      <c r="M48" t="s">
        <v>234</v>
      </c>
      <c r="N48" t="s">
        <v>235</v>
      </c>
      <c r="O48">
        <v>10.8</v>
      </c>
      <c r="P48">
        <f t="shared" si="2"/>
        <v>7.5000000000000009</v>
      </c>
      <c r="Q48">
        <v>4</v>
      </c>
      <c r="R48">
        <v>3</v>
      </c>
      <c r="S48">
        <v>28</v>
      </c>
      <c r="T48" t="s">
        <v>198</v>
      </c>
    </row>
    <row r="49" spans="1:20" x14ac:dyDescent="0.35">
      <c r="A49">
        <v>2</v>
      </c>
      <c r="B49">
        <v>1</v>
      </c>
      <c r="C49" t="s">
        <v>184</v>
      </c>
      <c r="D49" t="s">
        <v>236</v>
      </c>
      <c r="E49" t="s">
        <v>22</v>
      </c>
      <c r="F49">
        <v>12</v>
      </c>
      <c r="H49" t="s">
        <v>23</v>
      </c>
      <c r="I49" t="s">
        <v>24</v>
      </c>
      <c r="J49">
        <v>101</v>
      </c>
      <c r="K49" t="s">
        <v>51</v>
      </c>
      <c r="L49">
        <v>4</v>
      </c>
      <c r="M49">
        <v>197</v>
      </c>
      <c r="N49" t="s">
        <v>237</v>
      </c>
      <c r="O49">
        <v>14.4</v>
      </c>
      <c r="P49">
        <f t="shared" si="2"/>
        <v>11.100000000000001</v>
      </c>
      <c r="Q49">
        <v>7</v>
      </c>
      <c r="R49">
        <v>3</v>
      </c>
      <c r="S49">
        <v>55</v>
      </c>
      <c r="T49" t="s">
        <v>238</v>
      </c>
    </row>
    <row r="50" spans="1:20" x14ac:dyDescent="0.35">
      <c r="A50">
        <v>2</v>
      </c>
      <c r="B50">
        <v>1</v>
      </c>
      <c r="C50" t="s">
        <v>184</v>
      </c>
      <c r="D50" t="s">
        <v>239</v>
      </c>
      <c r="E50" t="s">
        <v>22</v>
      </c>
      <c r="F50">
        <v>4</v>
      </c>
      <c r="H50" t="s">
        <v>23</v>
      </c>
      <c r="I50" t="s">
        <v>24</v>
      </c>
      <c r="J50" t="s">
        <v>240</v>
      </c>
      <c r="K50" t="s">
        <v>241</v>
      </c>
      <c r="L50">
        <v>4</v>
      </c>
      <c r="M50" t="s">
        <v>242</v>
      </c>
      <c r="N50" t="s">
        <v>107</v>
      </c>
      <c r="O50">
        <v>7.5</v>
      </c>
      <c r="P50">
        <f t="shared" si="2"/>
        <v>4.2</v>
      </c>
      <c r="Q50" t="s">
        <v>203</v>
      </c>
      <c r="R50">
        <v>3</v>
      </c>
      <c r="S50">
        <v>29</v>
      </c>
      <c r="T50" t="s">
        <v>30</v>
      </c>
    </row>
    <row r="51" spans="1:20" x14ac:dyDescent="0.35">
      <c r="A51">
        <v>2</v>
      </c>
      <c r="B51">
        <v>1</v>
      </c>
      <c r="C51" t="s">
        <v>184</v>
      </c>
      <c r="D51" t="s">
        <v>243</v>
      </c>
      <c r="E51" t="s">
        <v>22</v>
      </c>
      <c r="F51">
        <v>9</v>
      </c>
      <c r="H51" t="s">
        <v>23</v>
      </c>
      <c r="I51" t="s">
        <v>24</v>
      </c>
      <c r="J51" t="s">
        <v>244</v>
      </c>
      <c r="K51" t="s">
        <v>245</v>
      </c>
      <c r="L51">
        <v>4</v>
      </c>
      <c r="M51" t="s">
        <v>246</v>
      </c>
      <c r="N51">
        <v>49</v>
      </c>
      <c r="O51">
        <v>10.5</v>
      </c>
      <c r="P51">
        <f t="shared" si="2"/>
        <v>7.2</v>
      </c>
      <c r="Q51">
        <v>4</v>
      </c>
      <c r="R51">
        <v>3</v>
      </c>
      <c r="S51">
        <v>29</v>
      </c>
      <c r="T51" t="s">
        <v>198</v>
      </c>
    </row>
    <row r="52" spans="1:20" x14ac:dyDescent="0.35">
      <c r="A52">
        <v>2</v>
      </c>
      <c r="B52">
        <v>1</v>
      </c>
      <c r="C52" t="s">
        <v>184</v>
      </c>
      <c r="D52" t="s">
        <v>247</v>
      </c>
      <c r="E52" t="s">
        <v>22</v>
      </c>
      <c r="F52">
        <v>1</v>
      </c>
      <c r="H52" t="s">
        <v>23</v>
      </c>
      <c r="I52" t="s">
        <v>24</v>
      </c>
      <c r="J52" t="s">
        <v>248</v>
      </c>
      <c r="K52" t="s">
        <v>249</v>
      </c>
      <c r="L52">
        <v>4</v>
      </c>
      <c r="M52" t="s">
        <v>250</v>
      </c>
      <c r="N52" t="s">
        <v>251</v>
      </c>
      <c r="O52">
        <v>15.1</v>
      </c>
      <c r="P52">
        <f t="shared" si="2"/>
        <v>11.8</v>
      </c>
      <c r="Q52" t="s">
        <v>252</v>
      </c>
      <c r="R52">
        <v>4</v>
      </c>
      <c r="S52">
        <v>42</v>
      </c>
      <c r="T52" t="s">
        <v>253</v>
      </c>
    </row>
    <row r="53" spans="1:20" x14ac:dyDescent="0.35">
      <c r="A53">
        <v>2</v>
      </c>
      <c r="B53">
        <v>1</v>
      </c>
      <c r="C53" t="s">
        <v>184</v>
      </c>
      <c r="D53" t="s">
        <v>254</v>
      </c>
      <c r="E53" t="s">
        <v>22</v>
      </c>
      <c r="F53">
        <v>11</v>
      </c>
      <c r="H53" t="s">
        <v>23</v>
      </c>
      <c r="I53" t="s">
        <v>24</v>
      </c>
      <c r="J53" t="s">
        <v>255</v>
      </c>
      <c r="K53" t="s">
        <v>256</v>
      </c>
      <c r="L53">
        <v>4</v>
      </c>
      <c r="M53" t="s">
        <v>257</v>
      </c>
      <c r="N53" t="s">
        <v>258</v>
      </c>
      <c r="O53">
        <v>10.199999999999999</v>
      </c>
      <c r="P53">
        <f t="shared" si="2"/>
        <v>6.8999999999999995</v>
      </c>
      <c r="Q53" t="s">
        <v>259</v>
      </c>
      <c r="R53">
        <v>3</v>
      </c>
      <c r="S53">
        <v>31</v>
      </c>
      <c r="T53" t="s">
        <v>198</v>
      </c>
    </row>
    <row r="54" spans="1:20" x14ac:dyDescent="0.35">
      <c r="A54">
        <v>2</v>
      </c>
      <c r="B54">
        <v>1</v>
      </c>
      <c r="C54" t="s">
        <v>184</v>
      </c>
      <c r="D54" t="s">
        <v>260</v>
      </c>
      <c r="E54" t="s">
        <v>22</v>
      </c>
      <c r="F54">
        <v>14</v>
      </c>
      <c r="H54" t="s">
        <v>23</v>
      </c>
      <c r="I54" t="s">
        <v>24</v>
      </c>
      <c r="J54" t="s">
        <v>108</v>
      </c>
      <c r="K54" t="s">
        <v>261</v>
      </c>
      <c r="L54">
        <v>4</v>
      </c>
      <c r="M54">
        <v>151</v>
      </c>
      <c r="N54" t="s">
        <v>262</v>
      </c>
      <c r="O54">
        <v>5.9</v>
      </c>
      <c r="P54">
        <f t="shared" si="2"/>
        <v>2.6000000000000005</v>
      </c>
      <c r="Q54" t="s">
        <v>87</v>
      </c>
      <c r="R54">
        <v>3</v>
      </c>
      <c r="S54">
        <v>13</v>
      </c>
      <c r="T54" t="s">
        <v>42</v>
      </c>
    </row>
    <row r="55" spans="1:20" x14ac:dyDescent="0.35">
      <c r="A55">
        <v>2</v>
      </c>
      <c r="B55">
        <v>1</v>
      </c>
      <c r="C55" t="s">
        <v>184</v>
      </c>
      <c r="D55" t="s">
        <v>263</v>
      </c>
      <c r="E55" t="s">
        <v>22</v>
      </c>
      <c r="F55">
        <v>10</v>
      </c>
      <c r="H55" t="s">
        <v>23</v>
      </c>
      <c r="I55" t="s">
        <v>24</v>
      </c>
      <c r="J55" t="s">
        <v>264</v>
      </c>
      <c r="K55" t="s">
        <v>265</v>
      </c>
      <c r="L55">
        <v>4</v>
      </c>
      <c r="M55" t="s">
        <v>266</v>
      </c>
      <c r="N55" t="s">
        <v>267</v>
      </c>
      <c r="O55">
        <v>13.7</v>
      </c>
      <c r="P55">
        <f t="shared" si="2"/>
        <v>10.399999999999999</v>
      </c>
      <c r="Q55" t="s">
        <v>268</v>
      </c>
      <c r="R55">
        <v>3</v>
      </c>
      <c r="S55">
        <v>36</v>
      </c>
      <c r="T55" t="s">
        <v>238</v>
      </c>
    </row>
    <row r="57" spans="1:20" x14ac:dyDescent="0.35">
      <c r="C57" t="s">
        <v>2</v>
      </c>
      <c r="D57" t="s">
        <v>3</v>
      </c>
      <c r="E57" t="s">
        <v>4</v>
      </c>
      <c r="F57" t="s">
        <v>5</v>
      </c>
      <c r="G57" t="s">
        <v>6</v>
      </c>
      <c r="H57" t="s">
        <v>7</v>
      </c>
      <c r="I57" t="s">
        <v>8</v>
      </c>
      <c r="J57" t="s">
        <v>9</v>
      </c>
      <c r="K57" t="s">
        <v>10</v>
      </c>
      <c r="L57" t="s">
        <v>11</v>
      </c>
      <c r="M57" t="s">
        <v>12</v>
      </c>
      <c r="N57" t="s">
        <v>13</v>
      </c>
      <c r="O57" t="s">
        <v>14</v>
      </c>
      <c r="Q57" t="s">
        <v>17</v>
      </c>
      <c r="R57" t="s">
        <v>18</v>
      </c>
      <c r="S57" t="s">
        <v>19</v>
      </c>
    </row>
    <row r="58" spans="1:20" x14ac:dyDescent="0.35">
      <c r="A58">
        <v>2</v>
      </c>
      <c r="B58">
        <v>2</v>
      </c>
      <c r="C58" t="s">
        <v>269</v>
      </c>
      <c r="D58" t="s">
        <v>270</v>
      </c>
      <c r="E58" t="s">
        <v>22</v>
      </c>
      <c r="F58">
        <v>18</v>
      </c>
      <c r="H58" t="s">
        <v>23</v>
      </c>
      <c r="I58" t="s">
        <v>24</v>
      </c>
      <c r="J58" t="s">
        <v>271</v>
      </c>
      <c r="K58" t="s">
        <v>272</v>
      </c>
      <c r="L58">
        <v>2</v>
      </c>
      <c r="M58" t="s">
        <v>273</v>
      </c>
      <c r="N58" t="s">
        <v>150</v>
      </c>
      <c r="O58">
        <v>12.7</v>
      </c>
      <c r="P58">
        <f t="shared" ref="P58:P78" si="3">O58-$M$80</f>
        <v>9.3999999999999986</v>
      </c>
      <c r="Q58">
        <v>4</v>
      </c>
      <c r="R58">
        <v>29</v>
      </c>
      <c r="S58" t="s">
        <v>274</v>
      </c>
    </row>
    <row r="59" spans="1:20" x14ac:dyDescent="0.35">
      <c r="A59">
        <v>2</v>
      </c>
      <c r="B59">
        <v>2</v>
      </c>
      <c r="C59" t="s">
        <v>269</v>
      </c>
      <c r="D59" t="s">
        <v>275</v>
      </c>
      <c r="E59" t="s">
        <v>22</v>
      </c>
      <c r="F59">
        <v>17</v>
      </c>
      <c r="H59" t="s">
        <v>23</v>
      </c>
      <c r="I59" t="s">
        <v>24</v>
      </c>
      <c r="J59" t="s">
        <v>276</v>
      </c>
      <c r="K59" t="s">
        <v>277</v>
      </c>
      <c r="L59">
        <v>2</v>
      </c>
      <c r="M59" t="s">
        <v>278</v>
      </c>
      <c r="N59" t="s">
        <v>94</v>
      </c>
      <c r="O59">
        <v>12.9</v>
      </c>
      <c r="P59">
        <f t="shared" si="3"/>
        <v>9.6000000000000014</v>
      </c>
      <c r="Q59">
        <v>4</v>
      </c>
      <c r="R59">
        <v>30</v>
      </c>
      <c r="S59" t="s">
        <v>238</v>
      </c>
    </row>
    <row r="60" spans="1:20" x14ac:dyDescent="0.35">
      <c r="A60">
        <v>2</v>
      </c>
      <c r="B60">
        <v>2</v>
      </c>
      <c r="C60" t="s">
        <v>269</v>
      </c>
      <c r="D60" t="s">
        <v>279</v>
      </c>
      <c r="E60" t="s">
        <v>22</v>
      </c>
      <c r="F60">
        <v>13</v>
      </c>
      <c r="H60" t="s">
        <v>23</v>
      </c>
      <c r="I60" t="s">
        <v>24</v>
      </c>
      <c r="J60" t="s">
        <v>280</v>
      </c>
      <c r="K60" t="s">
        <v>281</v>
      </c>
      <c r="L60">
        <v>4</v>
      </c>
      <c r="M60" t="s">
        <v>282</v>
      </c>
      <c r="N60" t="s">
        <v>283</v>
      </c>
      <c r="O60">
        <v>6.8</v>
      </c>
      <c r="P60">
        <f t="shared" si="3"/>
        <v>3.5</v>
      </c>
      <c r="Q60">
        <v>3</v>
      </c>
      <c r="R60">
        <v>15</v>
      </c>
      <c r="S60" t="s">
        <v>42</v>
      </c>
    </row>
    <row r="61" spans="1:20" x14ac:dyDescent="0.35">
      <c r="A61">
        <v>2</v>
      </c>
      <c r="B61">
        <v>2</v>
      </c>
      <c r="C61" t="s">
        <v>269</v>
      </c>
      <c r="D61" t="s">
        <v>284</v>
      </c>
      <c r="E61" t="s">
        <v>22</v>
      </c>
      <c r="F61">
        <v>6</v>
      </c>
      <c r="H61" t="s">
        <v>23</v>
      </c>
      <c r="I61" t="s">
        <v>24</v>
      </c>
      <c r="J61" t="s">
        <v>285</v>
      </c>
      <c r="K61" t="s">
        <v>286</v>
      </c>
      <c r="L61">
        <v>4</v>
      </c>
      <c r="M61" t="s">
        <v>287</v>
      </c>
      <c r="N61">
        <v>40</v>
      </c>
      <c r="O61">
        <v>11.4</v>
      </c>
      <c r="P61">
        <f t="shared" si="3"/>
        <v>8.1000000000000014</v>
      </c>
      <c r="Q61">
        <v>4</v>
      </c>
      <c r="R61">
        <v>27</v>
      </c>
      <c r="S61" t="s">
        <v>109</v>
      </c>
    </row>
    <row r="62" spans="1:20" x14ac:dyDescent="0.35">
      <c r="A62">
        <v>2</v>
      </c>
      <c r="B62">
        <v>2</v>
      </c>
      <c r="C62" t="s">
        <v>269</v>
      </c>
      <c r="D62" t="s">
        <v>288</v>
      </c>
      <c r="E62" t="s">
        <v>22</v>
      </c>
      <c r="F62">
        <v>1</v>
      </c>
      <c r="H62" t="s">
        <v>23</v>
      </c>
      <c r="I62" t="s">
        <v>24</v>
      </c>
      <c r="J62" t="s">
        <v>68</v>
      </c>
      <c r="K62" t="s">
        <v>170</v>
      </c>
      <c r="L62">
        <v>4</v>
      </c>
      <c r="M62" t="s">
        <v>289</v>
      </c>
      <c r="N62" t="s">
        <v>290</v>
      </c>
      <c r="O62">
        <v>6.4</v>
      </c>
      <c r="P62">
        <f t="shared" si="3"/>
        <v>3.1000000000000005</v>
      </c>
      <c r="Q62">
        <v>3</v>
      </c>
      <c r="R62">
        <v>16</v>
      </c>
      <c r="S62" t="s">
        <v>42</v>
      </c>
    </row>
    <row r="63" spans="1:20" x14ac:dyDescent="0.35">
      <c r="A63">
        <v>2</v>
      </c>
      <c r="B63">
        <v>2</v>
      </c>
      <c r="C63" t="s">
        <v>269</v>
      </c>
      <c r="D63" t="s">
        <v>291</v>
      </c>
      <c r="E63" t="s">
        <v>22</v>
      </c>
      <c r="F63">
        <v>2</v>
      </c>
      <c r="H63" t="s">
        <v>23</v>
      </c>
      <c r="I63" t="s">
        <v>24</v>
      </c>
      <c r="J63" t="s">
        <v>292</v>
      </c>
      <c r="K63" t="s">
        <v>293</v>
      </c>
      <c r="L63">
        <v>4</v>
      </c>
      <c r="M63" t="s">
        <v>294</v>
      </c>
      <c r="N63" t="s">
        <v>295</v>
      </c>
      <c r="O63">
        <v>8.6999999999999993</v>
      </c>
      <c r="P63">
        <f t="shared" si="3"/>
        <v>5.3999999999999995</v>
      </c>
      <c r="Q63">
        <v>3</v>
      </c>
      <c r="R63">
        <v>23</v>
      </c>
      <c r="S63" t="s">
        <v>36</v>
      </c>
    </row>
    <row r="64" spans="1:20" x14ac:dyDescent="0.35">
      <c r="A64">
        <v>2</v>
      </c>
      <c r="B64">
        <v>2</v>
      </c>
      <c r="C64" t="s">
        <v>269</v>
      </c>
      <c r="D64" t="s">
        <v>296</v>
      </c>
      <c r="E64" t="s">
        <v>22</v>
      </c>
      <c r="F64">
        <v>15</v>
      </c>
      <c r="H64" t="s">
        <v>23</v>
      </c>
      <c r="I64" t="s">
        <v>24</v>
      </c>
      <c r="J64" t="s">
        <v>297</v>
      </c>
      <c r="K64" t="s">
        <v>124</v>
      </c>
      <c r="L64">
        <v>2</v>
      </c>
      <c r="M64" t="s">
        <v>298</v>
      </c>
      <c r="N64" t="s">
        <v>64</v>
      </c>
      <c r="O64">
        <v>12.7</v>
      </c>
      <c r="P64">
        <f t="shared" si="3"/>
        <v>9.3999999999999986</v>
      </c>
      <c r="Q64">
        <v>3</v>
      </c>
      <c r="R64">
        <v>52</v>
      </c>
      <c r="S64" t="s">
        <v>109</v>
      </c>
    </row>
    <row r="65" spans="1:19" x14ac:dyDescent="0.35">
      <c r="A65">
        <v>2</v>
      </c>
      <c r="B65">
        <v>2</v>
      </c>
      <c r="C65" t="s">
        <v>269</v>
      </c>
      <c r="D65" t="s">
        <v>299</v>
      </c>
      <c r="E65" t="s">
        <v>22</v>
      </c>
      <c r="F65">
        <v>10</v>
      </c>
      <c r="H65" t="s">
        <v>23</v>
      </c>
      <c r="I65" t="s">
        <v>24</v>
      </c>
      <c r="J65" t="s">
        <v>300</v>
      </c>
      <c r="K65" t="s">
        <v>301</v>
      </c>
      <c r="L65">
        <v>2</v>
      </c>
      <c r="M65" t="s">
        <v>302</v>
      </c>
      <c r="N65" t="s">
        <v>237</v>
      </c>
      <c r="O65">
        <v>13.9</v>
      </c>
      <c r="P65">
        <f t="shared" si="3"/>
        <v>10.600000000000001</v>
      </c>
      <c r="Q65">
        <v>3</v>
      </c>
      <c r="R65">
        <v>46</v>
      </c>
      <c r="S65" t="s">
        <v>238</v>
      </c>
    </row>
    <row r="66" spans="1:19" x14ac:dyDescent="0.35">
      <c r="A66">
        <v>2</v>
      </c>
      <c r="B66">
        <v>2</v>
      </c>
      <c r="C66" t="s">
        <v>269</v>
      </c>
      <c r="D66" t="s">
        <v>303</v>
      </c>
      <c r="E66" t="s">
        <v>22</v>
      </c>
      <c r="F66">
        <v>16</v>
      </c>
      <c r="H66" t="s">
        <v>23</v>
      </c>
      <c r="I66" t="s">
        <v>24</v>
      </c>
      <c r="J66" t="s">
        <v>171</v>
      </c>
      <c r="K66" t="s">
        <v>304</v>
      </c>
      <c r="L66">
        <v>2</v>
      </c>
      <c r="M66" t="s">
        <v>305</v>
      </c>
      <c r="N66" t="s">
        <v>145</v>
      </c>
      <c r="O66">
        <v>12.3</v>
      </c>
      <c r="P66">
        <f t="shared" si="3"/>
        <v>9</v>
      </c>
      <c r="Q66">
        <v>3</v>
      </c>
      <c r="R66">
        <v>28</v>
      </c>
      <c r="S66" t="s">
        <v>274</v>
      </c>
    </row>
    <row r="67" spans="1:19" s="3" customFormat="1" x14ac:dyDescent="0.35">
      <c r="A67" s="3">
        <v>2</v>
      </c>
      <c r="B67" s="3">
        <v>2</v>
      </c>
      <c r="C67" s="3" t="s">
        <v>269</v>
      </c>
      <c r="D67" s="3" t="s">
        <v>306</v>
      </c>
      <c r="E67" s="3" t="s">
        <v>22</v>
      </c>
      <c r="H67" s="3" t="s">
        <v>23</v>
      </c>
      <c r="I67" s="3" t="s">
        <v>77</v>
      </c>
      <c r="J67" s="3" t="s">
        <v>78</v>
      </c>
      <c r="K67" s="3" t="s">
        <v>78</v>
      </c>
      <c r="L67" s="3">
        <v>2</v>
      </c>
      <c r="M67" s="3" t="s">
        <v>79</v>
      </c>
      <c r="N67" s="3" t="s">
        <v>80</v>
      </c>
      <c r="O67" s="3">
        <v>5.7</v>
      </c>
      <c r="P67" s="3">
        <f t="shared" si="3"/>
        <v>2.4000000000000004</v>
      </c>
      <c r="Q67" s="3">
        <v>3</v>
      </c>
      <c r="R67" s="3">
        <v>73</v>
      </c>
      <c r="S67" s="3" t="s">
        <v>88</v>
      </c>
    </row>
    <row r="68" spans="1:19" x14ac:dyDescent="0.35">
      <c r="A68">
        <v>2</v>
      </c>
      <c r="B68">
        <v>2</v>
      </c>
      <c r="C68" t="s">
        <v>269</v>
      </c>
      <c r="D68" t="s">
        <v>307</v>
      </c>
      <c r="E68" t="s">
        <v>22</v>
      </c>
      <c r="F68">
        <v>5</v>
      </c>
      <c r="H68" t="s">
        <v>23</v>
      </c>
      <c r="I68" t="s">
        <v>24</v>
      </c>
      <c r="J68" t="s">
        <v>308</v>
      </c>
      <c r="K68" t="s">
        <v>309</v>
      </c>
      <c r="L68">
        <v>4</v>
      </c>
      <c r="M68" t="s">
        <v>310</v>
      </c>
      <c r="N68" t="s">
        <v>311</v>
      </c>
      <c r="O68">
        <v>10.4</v>
      </c>
      <c r="P68">
        <f t="shared" si="3"/>
        <v>7.1000000000000005</v>
      </c>
      <c r="Q68">
        <v>3</v>
      </c>
      <c r="R68">
        <v>25</v>
      </c>
      <c r="S68" t="s">
        <v>198</v>
      </c>
    </row>
    <row r="69" spans="1:19" x14ac:dyDescent="0.35">
      <c r="A69">
        <v>2</v>
      </c>
      <c r="B69">
        <v>2</v>
      </c>
      <c r="C69" t="s">
        <v>269</v>
      </c>
      <c r="D69" t="s">
        <v>312</v>
      </c>
      <c r="E69" t="s">
        <v>22</v>
      </c>
      <c r="F69">
        <v>8</v>
      </c>
      <c r="H69" t="s">
        <v>23</v>
      </c>
      <c r="I69" t="s">
        <v>24</v>
      </c>
      <c r="J69" t="s">
        <v>313</v>
      </c>
      <c r="K69" t="s">
        <v>314</v>
      </c>
      <c r="L69">
        <v>4</v>
      </c>
      <c r="M69" t="s">
        <v>315</v>
      </c>
      <c r="N69" t="s">
        <v>316</v>
      </c>
      <c r="O69">
        <v>6.5</v>
      </c>
      <c r="P69">
        <f t="shared" si="3"/>
        <v>3.2</v>
      </c>
      <c r="Q69">
        <v>3</v>
      </c>
      <c r="R69">
        <v>15</v>
      </c>
      <c r="S69" t="s">
        <v>42</v>
      </c>
    </row>
    <row r="70" spans="1:19" s="3" customFormat="1" x14ac:dyDescent="0.35">
      <c r="A70" s="3">
        <v>2</v>
      </c>
      <c r="B70" s="3">
        <v>2</v>
      </c>
      <c r="C70" s="3" t="s">
        <v>269</v>
      </c>
      <c r="D70" s="3" t="s">
        <v>317</v>
      </c>
      <c r="E70" s="3" t="s">
        <v>22</v>
      </c>
      <c r="H70" s="3" t="s">
        <v>23</v>
      </c>
      <c r="I70" s="3" t="s">
        <v>77</v>
      </c>
      <c r="J70" s="3" t="s">
        <v>78</v>
      </c>
      <c r="K70" s="3" t="s">
        <v>78</v>
      </c>
      <c r="L70" s="3">
        <v>4</v>
      </c>
      <c r="M70" s="3" t="s">
        <v>79</v>
      </c>
      <c r="N70" s="3" t="s">
        <v>80</v>
      </c>
      <c r="O70" s="3">
        <v>5.0999999999999996</v>
      </c>
      <c r="P70" s="3">
        <f t="shared" si="3"/>
        <v>1.7999999999999998</v>
      </c>
      <c r="Q70" s="3">
        <v>3</v>
      </c>
      <c r="R70" s="3">
        <v>49</v>
      </c>
      <c r="S70" s="3" t="s">
        <v>88</v>
      </c>
    </row>
    <row r="71" spans="1:19" x14ac:dyDescent="0.35">
      <c r="A71">
        <v>2</v>
      </c>
      <c r="B71">
        <v>2</v>
      </c>
      <c r="C71" t="s">
        <v>269</v>
      </c>
      <c r="D71" t="s">
        <v>318</v>
      </c>
      <c r="E71" t="s">
        <v>22</v>
      </c>
      <c r="F71">
        <v>14</v>
      </c>
      <c r="H71" t="s">
        <v>23</v>
      </c>
      <c r="I71" t="s">
        <v>24</v>
      </c>
      <c r="J71" t="s">
        <v>319</v>
      </c>
      <c r="K71" t="s">
        <v>320</v>
      </c>
      <c r="L71">
        <v>2</v>
      </c>
      <c r="M71" t="s">
        <v>261</v>
      </c>
      <c r="N71" t="s">
        <v>94</v>
      </c>
      <c r="O71">
        <v>12.1</v>
      </c>
      <c r="P71">
        <f t="shared" si="3"/>
        <v>8.8000000000000007</v>
      </c>
      <c r="Q71">
        <v>3</v>
      </c>
      <c r="R71">
        <v>35</v>
      </c>
      <c r="S71" t="s">
        <v>109</v>
      </c>
    </row>
    <row r="72" spans="1:19" x14ac:dyDescent="0.35">
      <c r="A72">
        <v>2</v>
      </c>
      <c r="B72">
        <v>2</v>
      </c>
      <c r="C72" t="s">
        <v>269</v>
      </c>
      <c r="D72" t="s">
        <v>321</v>
      </c>
      <c r="E72" t="s">
        <v>22</v>
      </c>
      <c r="F72">
        <v>11</v>
      </c>
      <c r="H72" t="s">
        <v>23</v>
      </c>
      <c r="I72" t="s">
        <v>24</v>
      </c>
      <c r="J72" t="s">
        <v>322</v>
      </c>
      <c r="K72" t="s">
        <v>323</v>
      </c>
      <c r="L72">
        <v>2</v>
      </c>
      <c r="M72" t="s">
        <v>324</v>
      </c>
      <c r="N72" t="s">
        <v>325</v>
      </c>
      <c r="O72">
        <v>16</v>
      </c>
      <c r="P72">
        <f t="shared" si="3"/>
        <v>12.7</v>
      </c>
      <c r="Q72">
        <v>4</v>
      </c>
      <c r="R72">
        <v>42</v>
      </c>
      <c r="S72" t="s">
        <v>326</v>
      </c>
    </row>
    <row r="73" spans="1:19" x14ac:dyDescent="0.35">
      <c r="A73">
        <v>2</v>
      </c>
      <c r="B73">
        <v>2</v>
      </c>
      <c r="C73" t="s">
        <v>269</v>
      </c>
      <c r="D73" t="s">
        <v>327</v>
      </c>
      <c r="E73" t="s">
        <v>22</v>
      </c>
      <c r="F73">
        <v>13</v>
      </c>
      <c r="H73" t="s">
        <v>23</v>
      </c>
      <c r="I73" t="s">
        <v>24</v>
      </c>
      <c r="J73" t="s">
        <v>328</v>
      </c>
      <c r="K73" t="s">
        <v>329</v>
      </c>
      <c r="L73">
        <v>2</v>
      </c>
      <c r="M73" t="s">
        <v>330</v>
      </c>
      <c r="N73">
        <v>43</v>
      </c>
      <c r="O73">
        <v>11.7</v>
      </c>
      <c r="P73">
        <f t="shared" si="3"/>
        <v>8.3999999999999986</v>
      </c>
      <c r="Q73">
        <v>3</v>
      </c>
      <c r="R73">
        <v>28</v>
      </c>
      <c r="S73" t="s">
        <v>109</v>
      </c>
    </row>
    <row r="74" spans="1:19" x14ac:dyDescent="0.35">
      <c r="A74">
        <v>2</v>
      </c>
      <c r="B74">
        <v>2</v>
      </c>
      <c r="C74" t="s">
        <v>269</v>
      </c>
      <c r="D74" t="s">
        <v>331</v>
      </c>
      <c r="E74" t="s">
        <v>22</v>
      </c>
      <c r="F74">
        <v>4</v>
      </c>
      <c r="H74" t="s">
        <v>23</v>
      </c>
      <c r="I74" t="s">
        <v>24</v>
      </c>
      <c r="J74" t="s">
        <v>332</v>
      </c>
      <c r="K74" t="s">
        <v>333</v>
      </c>
      <c r="L74">
        <v>4</v>
      </c>
      <c r="M74" t="s">
        <v>222</v>
      </c>
      <c r="N74">
        <v>46</v>
      </c>
      <c r="O74">
        <v>8.1</v>
      </c>
      <c r="P74">
        <f t="shared" si="3"/>
        <v>4.8</v>
      </c>
      <c r="Q74">
        <v>3</v>
      </c>
      <c r="R74">
        <v>23</v>
      </c>
      <c r="S74" t="s">
        <v>36</v>
      </c>
    </row>
    <row r="75" spans="1:19" x14ac:dyDescent="0.35">
      <c r="A75">
        <v>2</v>
      </c>
      <c r="B75">
        <v>2</v>
      </c>
      <c r="C75" t="s">
        <v>269</v>
      </c>
      <c r="D75" t="s">
        <v>334</v>
      </c>
      <c r="E75" t="s">
        <v>22</v>
      </c>
      <c r="F75">
        <v>7</v>
      </c>
      <c r="H75" t="s">
        <v>23</v>
      </c>
      <c r="I75" t="s">
        <v>24</v>
      </c>
      <c r="J75" t="s">
        <v>335</v>
      </c>
      <c r="K75" t="s">
        <v>336</v>
      </c>
      <c r="L75">
        <v>4</v>
      </c>
      <c r="M75" t="s">
        <v>337</v>
      </c>
      <c r="N75" t="s">
        <v>338</v>
      </c>
      <c r="O75">
        <v>14.3</v>
      </c>
      <c r="P75">
        <f t="shared" si="3"/>
        <v>11</v>
      </c>
      <c r="Q75">
        <v>4</v>
      </c>
      <c r="R75">
        <v>34</v>
      </c>
      <c r="S75" t="s">
        <v>253</v>
      </c>
    </row>
    <row r="76" spans="1:19" x14ac:dyDescent="0.35">
      <c r="A76">
        <v>2</v>
      </c>
      <c r="B76">
        <v>2</v>
      </c>
      <c r="C76" t="s">
        <v>269</v>
      </c>
      <c r="D76" t="s">
        <v>339</v>
      </c>
      <c r="E76" t="s">
        <v>22</v>
      </c>
      <c r="F76">
        <v>9</v>
      </c>
      <c r="H76" t="s">
        <v>23</v>
      </c>
      <c r="I76" t="s">
        <v>24</v>
      </c>
      <c r="J76" t="s">
        <v>340</v>
      </c>
      <c r="K76" t="s">
        <v>341</v>
      </c>
      <c r="L76">
        <v>4</v>
      </c>
      <c r="M76" t="s">
        <v>342</v>
      </c>
      <c r="N76" t="s">
        <v>343</v>
      </c>
      <c r="O76">
        <v>15.4</v>
      </c>
      <c r="P76">
        <f t="shared" si="3"/>
        <v>12.100000000000001</v>
      </c>
      <c r="Q76">
        <v>5</v>
      </c>
      <c r="R76">
        <v>33</v>
      </c>
      <c r="S76" t="s">
        <v>326</v>
      </c>
    </row>
    <row r="77" spans="1:19" x14ac:dyDescent="0.35">
      <c r="A77">
        <v>2</v>
      </c>
      <c r="B77">
        <v>2</v>
      </c>
      <c r="C77" t="s">
        <v>269</v>
      </c>
      <c r="D77" t="s">
        <v>344</v>
      </c>
      <c r="E77" t="s">
        <v>22</v>
      </c>
      <c r="F77">
        <v>3</v>
      </c>
      <c r="H77" t="s">
        <v>23</v>
      </c>
      <c r="I77" t="s">
        <v>24</v>
      </c>
      <c r="J77" t="s">
        <v>345</v>
      </c>
      <c r="K77" t="s">
        <v>346</v>
      </c>
      <c r="L77">
        <v>4</v>
      </c>
      <c r="M77" t="s">
        <v>347</v>
      </c>
      <c r="N77" t="s">
        <v>258</v>
      </c>
      <c r="O77">
        <v>6.9</v>
      </c>
      <c r="P77">
        <f t="shared" si="3"/>
        <v>3.6000000000000005</v>
      </c>
      <c r="Q77">
        <v>3</v>
      </c>
      <c r="R77">
        <v>16</v>
      </c>
      <c r="S77" t="s">
        <v>30</v>
      </c>
    </row>
    <row r="78" spans="1:19" x14ac:dyDescent="0.35">
      <c r="A78">
        <v>2</v>
      </c>
      <c r="B78">
        <v>2</v>
      </c>
      <c r="C78" t="s">
        <v>269</v>
      </c>
      <c r="D78" t="s">
        <v>348</v>
      </c>
      <c r="E78" t="s">
        <v>22</v>
      </c>
      <c r="F78">
        <v>10</v>
      </c>
      <c r="H78" t="s">
        <v>23</v>
      </c>
      <c r="I78" t="s">
        <v>24</v>
      </c>
      <c r="J78" t="s">
        <v>349</v>
      </c>
      <c r="K78" t="s">
        <v>35</v>
      </c>
      <c r="L78">
        <v>4</v>
      </c>
      <c r="M78" t="s">
        <v>350</v>
      </c>
      <c r="N78">
        <v>41</v>
      </c>
      <c r="O78">
        <v>12.5</v>
      </c>
      <c r="P78">
        <f t="shared" si="3"/>
        <v>9.1999999999999993</v>
      </c>
      <c r="Q78">
        <v>3</v>
      </c>
      <c r="R78">
        <v>35</v>
      </c>
      <c r="S78" t="s">
        <v>274</v>
      </c>
    </row>
    <row r="80" spans="1:19" x14ac:dyDescent="0.35">
      <c r="J80" t="s">
        <v>351</v>
      </c>
      <c r="M80">
        <v>3.3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5"/>
  <sheetViews>
    <sheetView topLeftCell="A19" zoomScaleNormal="100" workbookViewId="0">
      <selection activeCell="P36" sqref="P36"/>
    </sheetView>
  </sheetViews>
  <sheetFormatPr defaultColWidth="8.6328125" defaultRowHeight="14.5" x14ac:dyDescent="0.35"/>
  <cols>
    <col min="15" max="15" width="14.1796875" customWidth="1"/>
    <col min="16" max="16" width="17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s="2" t="s">
        <v>15</v>
      </c>
      <c r="Q1" t="s">
        <v>16</v>
      </c>
      <c r="R1" t="s">
        <v>17</v>
      </c>
      <c r="S1" t="s">
        <v>18</v>
      </c>
    </row>
    <row r="2" spans="1:20" x14ac:dyDescent="0.35">
      <c r="A2">
        <v>1</v>
      </c>
      <c r="B2">
        <v>1</v>
      </c>
      <c r="C2" t="s">
        <v>352</v>
      </c>
      <c r="D2" t="s">
        <v>353</v>
      </c>
      <c r="E2" t="s">
        <v>22</v>
      </c>
      <c r="F2">
        <v>3</v>
      </c>
      <c r="H2" t="s">
        <v>23</v>
      </c>
      <c r="I2" t="s">
        <v>24</v>
      </c>
      <c r="J2">
        <v>14</v>
      </c>
      <c r="K2" t="s">
        <v>308</v>
      </c>
      <c r="L2">
        <v>4</v>
      </c>
      <c r="M2" t="s">
        <v>246</v>
      </c>
      <c r="N2" t="s">
        <v>354</v>
      </c>
      <c r="O2">
        <v>7.8</v>
      </c>
      <c r="P2">
        <f t="shared" ref="P2:P11" si="0">O2-$N$45</f>
        <v>4.5</v>
      </c>
      <c r="Q2" t="s">
        <v>41</v>
      </c>
      <c r="R2">
        <v>3</v>
      </c>
      <c r="S2">
        <v>18</v>
      </c>
    </row>
    <row r="3" spans="1:20" x14ac:dyDescent="0.35">
      <c r="A3">
        <v>1</v>
      </c>
      <c r="B3">
        <v>1</v>
      </c>
      <c r="C3" t="s">
        <v>352</v>
      </c>
      <c r="D3" t="s">
        <v>355</v>
      </c>
      <c r="E3" t="s">
        <v>22</v>
      </c>
      <c r="F3">
        <v>9</v>
      </c>
      <c r="H3" t="s">
        <v>23</v>
      </c>
      <c r="I3" t="s">
        <v>24</v>
      </c>
      <c r="J3" t="s">
        <v>356</v>
      </c>
      <c r="K3" t="s">
        <v>357</v>
      </c>
      <c r="L3">
        <v>4</v>
      </c>
      <c r="M3" t="s">
        <v>358</v>
      </c>
      <c r="N3" t="s">
        <v>359</v>
      </c>
      <c r="O3">
        <v>6</v>
      </c>
      <c r="P3">
        <f t="shared" si="0"/>
        <v>2.7</v>
      </c>
      <c r="Q3" t="s">
        <v>183</v>
      </c>
      <c r="R3">
        <v>3</v>
      </c>
      <c r="S3">
        <v>14</v>
      </c>
    </row>
    <row r="4" spans="1:20" x14ac:dyDescent="0.35">
      <c r="A4">
        <v>1</v>
      </c>
      <c r="B4">
        <v>1</v>
      </c>
      <c r="C4" t="s">
        <v>352</v>
      </c>
      <c r="D4" t="s">
        <v>360</v>
      </c>
      <c r="E4" t="s">
        <v>22</v>
      </c>
      <c r="F4">
        <v>1</v>
      </c>
      <c r="H4" t="s">
        <v>23</v>
      </c>
      <c r="I4" t="s">
        <v>24</v>
      </c>
      <c r="J4" t="s">
        <v>361</v>
      </c>
      <c r="K4" t="s">
        <v>362</v>
      </c>
      <c r="L4">
        <v>4</v>
      </c>
      <c r="M4">
        <v>202</v>
      </c>
      <c r="N4" t="s">
        <v>289</v>
      </c>
      <c r="O4">
        <v>13.3</v>
      </c>
      <c r="P4">
        <f t="shared" si="0"/>
        <v>10</v>
      </c>
      <c r="Q4" t="s">
        <v>363</v>
      </c>
      <c r="R4">
        <v>4</v>
      </c>
      <c r="S4">
        <v>34</v>
      </c>
    </row>
    <row r="5" spans="1:20" x14ac:dyDescent="0.35">
      <c r="A5">
        <v>1</v>
      </c>
      <c r="B5">
        <v>1</v>
      </c>
      <c r="C5" t="s">
        <v>352</v>
      </c>
      <c r="D5" t="s">
        <v>364</v>
      </c>
      <c r="E5" t="s">
        <v>22</v>
      </c>
      <c r="F5">
        <v>5</v>
      </c>
      <c r="H5" t="s">
        <v>23</v>
      </c>
      <c r="I5" t="s">
        <v>24</v>
      </c>
      <c r="J5" t="s">
        <v>365</v>
      </c>
      <c r="K5" t="s">
        <v>366</v>
      </c>
      <c r="L5">
        <v>4</v>
      </c>
      <c r="M5" t="s">
        <v>367</v>
      </c>
      <c r="N5" t="s">
        <v>368</v>
      </c>
      <c r="O5">
        <v>8.9</v>
      </c>
      <c r="P5">
        <f t="shared" si="0"/>
        <v>5.6000000000000005</v>
      </c>
      <c r="Q5" t="s">
        <v>159</v>
      </c>
      <c r="R5">
        <v>3</v>
      </c>
      <c r="S5">
        <v>27</v>
      </c>
    </row>
    <row r="6" spans="1:20" s="3" customFormat="1" x14ac:dyDescent="0.35">
      <c r="A6" s="3">
        <v>1</v>
      </c>
      <c r="B6" s="3">
        <v>1</v>
      </c>
      <c r="C6" s="3" t="s">
        <v>352</v>
      </c>
      <c r="D6" s="3" t="s">
        <v>369</v>
      </c>
      <c r="E6" s="3" t="s">
        <v>22</v>
      </c>
      <c r="H6" s="3" t="s">
        <v>23</v>
      </c>
      <c r="I6" s="3" t="s">
        <v>77</v>
      </c>
      <c r="J6" s="3" t="s">
        <v>78</v>
      </c>
      <c r="K6" s="3" t="s">
        <v>78</v>
      </c>
      <c r="L6" s="3">
        <v>4</v>
      </c>
      <c r="M6" s="3" t="s">
        <v>79</v>
      </c>
      <c r="N6" s="3" t="s">
        <v>80</v>
      </c>
      <c r="O6" s="3">
        <v>4.3</v>
      </c>
      <c r="P6" s="3">
        <f t="shared" si="0"/>
        <v>1</v>
      </c>
      <c r="Q6" s="3" t="s">
        <v>100</v>
      </c>
      <c r="R6" s="3">
        <v>3</v>
      </c>
      <c r="S6" s="3">
        <v>66</v>
      </c>
    </row>
    <row r="7" spans="1:20" x14ac:dyDescent="0.35">
      <c r="A7">
        <v>1</v>
      </c>
      <c r="B7">
        <v>1</v>
      </c>
      <c r="C7" t="s">
        <v>352</v>
      </c>
      <c r="D7" t="s">
        <v>370</v>
      </c>
      <c r="E7" t="s">
        <v>22</v>
      </c>
      <c r="F7">
        <v>6</v>
      </c>
      <c r="H7" t="s">
        <v>23</v>
      </c>
      <c r="I7" t="s">
        <v>24</v>
      </c>
      <c r="J7" t="s">
        <v>371</v>
      </c>
      <c r="K7">
        <v>94</v>
      </c>
      <c r="L7">
        <v>4</v>
      </c>
      <c r="M7" t="s">
        <v>372</v>
      </c>
      <c r="N7">
        <v>52</v>
      </c>
      <c r="O7">
        <v>7.8</v>
      </c>
      <c r="P7">
        <f t="shared" si="0"/>
        <v>4.5</v>
      </c>
      <c r="Q7" t="s">
        <v>203</v>
      </c>
      <c r="R7">
        <v>3</v>
      </c>
      <c r="S7">
        <v>19</v>
      </c>
    </row>
    <row r="8" spans="1:20" x14ac:dyDescent="0.35">
      <c r="A8">
        <v>1</v>
      </c>
      <c r="B8">
        <v>1</v>
      </c>
      <c r="C8" t="s">
        <v>352</v>
      </c>
      <c r="D8" t="s">
        <v>373</v>
      </c>
      <c r="E8" t="s">
        <v>22</v>
      </c>
      <c r="F8">
        <v>4</v>
      </c>
      <c r="H8" t="s">
        <v>23</v>
      </c>
      <c r="I8" t="s">
        <v>24</v>
      </c>
      <c r="J8" t="s">
        <v>374</v>
      </c>
      <c r="K8" t="s">
        <v>375</v>
      </c>
      <c r="L8">
        <v>4</v>
      </c>
      <c r="M8" t="s">
        <v>376</v>
      </c>
      <c r="N8" t="s">
        <v>377</v>
      </c>
      <c r="O8">
        <v>18.7</v>
      </c>
      <c r="P8">
        <f t="shared" si="0"/>
        <v>15.399999999999999</v>
      </c>
      <c r="Q8" t="s">
        <v>378</v>
      </c>
      <c r="R8">
        <v>3</v>
      </c>
      <c r="S8">
        <v>66</v>
      </c>
    </row>
    <row r="9" spans="1:20" x14ac:dyDescent="0.35">
      <c r="A9">
        <v>1</v>
      </c>
      <c r="B9">
        <v>1</v>
      </c>
      <c r="C9" t="s">
        <v>352</v>
      </c>
      <c r="D9" t="s">
        <v>379</v>
      </c>
      <c r="E9" t="s">
        <v>22</v>
      </c>
      <c r="F9">
        <v>7</v>
      </c>
      <c r="H9" t="s">
        <v>23</v>
      </c>
      <c r="I9" t="s">
        <v>24</v>
      </c>
      <c r="J9" t="s">
        <v>380</v>
      </c>
      <c r="K9" t="s">
        <v>381</v>
      </c>
      <c r="L9">
        <v>4</v>
      </c>
      <c r="M9" t="s">
        <v>382</v>
      </c>
      <c r="N9" t="s">
        <v>86</v>
      </c>
      <c r="O9">
        <v>6.7</v>
      </c>
      <c r="P9">
        <f t="shared" si="0"/>
        <v>3.4000000000000004</v>
      </c>
      <c r="Q9" t="s">
        <v>141</v>
      </c>
      <c r="R9">
        <v>3</v>
      </c>
      <c r="S9">
        <v>17</v>
      </c>
    </row>
    <row r="10" spans="1:20" x14ac:dyDescent="0.35">
      <c r="A10">
        <v>1</v>
      </c>
      <c r="B10">
        <v>1</v>
      </c>
      <c r="C10" t="s">
        <v>352</v>
      </c>
      <c r="D10" t="s">
        <v>383</v>
      </c>
      <c r="E10" t="s">
        <v>22</v>
      </c>
      <c r="F10">
        <v>8</v>
      </c>
      <c r="H10" t="s">
        <v>23</v>
      </c>
      <c r="I10" t="s">
        <v>24</v>
      </c>
      <c r="J10" t="s">
        <v>384</v>
      </c>
      <c r="K10" t="s">
        <v>278</v>
      </c>
      <c r="L10">
        <v>4</v>
      </c>
      <c r="M10" t="s">
        <v>385</v>
      </c>
      <c r="N10" t="s">
        <v>386</v>
      </c>
      <c r="O10">
        <v>11.1</v>
      </c>
      <c r="P10">
        <f t="shared" si="0"/>
        <v>7.8</v>
      </c>
      <c r="Q10" t="s">
        <v>387</v>
      </c>
      <c r="R10">
        <v>3</v>
      </c>
      <c r="S10">
        <v>27</v>
      </c>
    </row>
    <row r="11" spans="1:20" x14ac:dyDescent="0.35">
      <c r="A11">
        <v>1</v>
      </c>
      <c r="B11">
        <v>1</v>
      </c>
      <c r="C11" t="s">
        <v>352</v>
      </c>
      <c r="D11" t="s">
        <v>388</v>
      </c>
      <c r="E11" t="s">
        <v>22</v>
      </c>
      <c r="F11">
        <v>2</v>
      </c>
      <c r="H11" t="s">
        <v>23</v>
      </c>
      <c r="I11" t="s">
        <v>24</v>
      </c>
      <c r="J11" t="s">
        <v>389</v>
      </c>
      <c r="K11" t="s">
        <v>390</v>
      </c>
      <c r="L11">
        <v>4</v>
      </c>
      <c r="M11" t="s">
        <v>391</v>
      </c>
      <c r="N11" t="s">
        <v>392</v>
      </c>
      <c r="O11">
        <v>10.5</v>
      </c>
      <c r="P11">
        <f t="shared" si="0"/>
        <v>7.2</v>
      </c>
      <c r="Q11" t="s">
        <v>88</v>
      </c>
      <c r="R11">
        <v>3</v>
      </c>
      <c r="S11">
        <v>33</v>
      </c>
    </row>
    <row r="13" spans="1:20" x14ac:dyDescent="0.35"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t="s">
        <v>9</v>
      </c>
      <c r="K13" t="s">
        <v>10</v>
      </c>
      <c r="L13" t="s">
        <v>11</v>
      </c>
      <c r="M13" t="s">
        <v>12</v>
      </c>
      <c r="N13" t="s">
        <v>13</v>
      </c>
      <c r="O13" t="s">
        <v>14</v>
      </c>
      <c r="Q13" t="s">
        <v>16</v>
      </c>
      <c r="R13" t="s">
        <v>17</v>
      </c>
      <c r="S13" t="s">
        <v>18</v>
      </c>
      <c r="T13" t="s">
        <v>19</v>
      </c>
    </row>
    <row r="14" spans="1:20" x14ac:dyDescent="0.35">
      <c r="A14">
        <v>1</v>
      </c>
      <c r="B14">
        <v>2</v>
      </c>
      <c r="C14" t="s">
        <v>393</v>
      </c>
      <c r="D14" t="s">
        <v>394</v>
      </c>
      <c r="E14" t="s">
        <v>22</v>
      </c>
      <c r="F14">
        <v>2</v>
      </c>
      <c r="H14" t="s">
        <v>23</v>
      </c>
      <c r="I14" t="s">
        <v>24</v>
      </c>
      <c r="J14" t="s">
        <v>395</v>
      </c>
      <c r="K14" t="s">
        <v>396</v>
      </c>
      <c r="L14">
        <v>4</v>
      </c>
      <c r="M14" t="s">
        <v>397</v>
      </c>
      <c r="N14" t="s">
        <v>398</v>
      </c>
      <c r="O14">
        <v>11</v>
      </c>
      <c r="P14">
        <f t="shared" ref="P14:P22" si="1">O14-$N$45</f>
        <v>7.7</v>
      </c>
      <c r="Q14" t="s">
        <v>399</v>
      </c>
      <c r="R14">
        <v>3</v>
      </c>
      <c r="S14">
        <v>35</v>
      </c>
      <c r="T14" t="s">
        <v>198</v>
      </c>
    </row>
    <row r="15" spans="1:20" s="3" customFormat="1" x14ac:dyDescent="0.35">
      <c r="A15" s="3">
        <v>1</v>
      </c>
      <c r="B15" s="3">
        <v>2</v>
      </c>
      <c r="C15" s="3" t="s">
        <v>393</v>
      </c>
      <c r="D15" s="3" t="s">
        <v>400</v>
      </c>
      <c r="E15" s="3" t="s">
        <v>22</v>
      </c>
      <c r="H15" s="3" t="s">
        <v>23</v>
      </c>
      <c r="I15" s="3" t="s">
        <v>77</v>
      </c>
      <c r="J15" s="3" t="s">
        <v>78</v>
      </c>
      <c r="K15" s="3" t="s">
        <v>78</v>
      </c>
      <c r="L15" s="3">
        <v>4</v>
      </c>
      <c r="M15" s="3" t="s">
        <v>79</v>
      </c>
      <c r="N15" s="3" t="s">
        <v>80</v>
      </c>
      <c r="O15" s="3">
        <v>4.5</v>
      </c>
      <c r="P15" s="3">
        <f t="shared" si="1"/>
        <v>1.2000000000000002</v>
      </c>
      <c r="Q15" s="3" t="s">
        <v>118</v>
      </c>
      <c r="R15" s="3">
        <v>3</v>
      </c>
      <c r="S15" s="3">
        <v>45</v>
      </c>
      <c r="T15" s="3" t="s">
        <v>88</v>
      </c>
    </row>
    <row r="16" spans="1:20" x14ac:dyDescent="0.35">
      <c r="A16">
        <v>1</v>
      </c>
      <c r="B16">
        <v>2</v>
      </c>
      <c r="C16" t="s">
        <v>393</v>
      </c>
      <c r="D16" t="s">
        <v>401</v>
      </c>
      <c r="E16" t="s">
        <v>22</v>
      </c>
      <c r="F16">
        <v>7</v>
      </c>
      <c r="H16" t="s">
        <v>23</v>
      </c>
      <c r="I16" t="s">
        <v>24</v>
      </c>
      <c r="J16" t="s">
        <v>402</v>
      </c>
      <c r="K16" t="s">
        <v>403</v>
      </c>
      <c r="L16">
        <v>4</v>
      </c>
      <c r="M16" t="s">
        <v>404</v>
      </c>
      <c r="N16" t="s">
        <v>405</v>
      </c>
      <c r="O16">
        <v>5.6</v>
      </c>
      <c r="P16">
        <f t="shared" si="1"/>
        <v>2.2999999999999998</v>
      </c>
      <c r="Q16">
        <v>2</v>
      </c>
      <c r="R16">
        <v>3</v>
      </c>
      <c r="S16">
        <v>18</v>
      </c>
      <c r="T16" t="s">
        <v>55</v>
      </c>
    </row>
    <row r="17" spans="1:20" x14ac:dyDescent="0.35">
      <c r="A17">
        <v>1</v>
      </c>
      <c r="B17">
        <v>2</v>
      </c>
      <c r="C17" t="s">
        <v>393</v>
      </c>
      <c r="D17" t="s">
        <v>406</v>
      </c>
      <c r="E17" t="s">
        <v>22</v>
      </c>
      <c r="F17">
        <v>6</v>
      </c>
      <c r="H17" t="s">
        <v>23</v>
      </c>
      <c r="I17" t="s">
        <v>24</v>
      </c>
      <c r="J17" t="s">
        <v>407</v>
      </c>
      <c r="K17" t="s">
        <v>408</v>
      </c>
      <c r="L17">
        <v>4</v>
      </c>
      <c r="M17" t="s">
        <v>409</v>
      </c>
      <c r="N17" t="s">
        <v>410</v>
      </c>
      <c r="O17">
        <v>7.4</v>
      </c>
      <c r="P17">
        <f t="shared" si="1"/>
        <v>4.1000000000000005</v>
      </c>
      <c r="Q17" t="s">
        <v>69</v>
      </c>
      <c r="R17">
        <v>3</v>
      </c>
      <c r="S17">
        <v>24</v>
      </c>
      <c r="T17" t="s">
        <v>30</v>
      </c>
    </row>
    <row r="18" spans="1:20" x14ac:dyDescent="0.35">
      <c r="A18">
        <v>1</v>
      </c>
      <c r="B18">
        <v>2</v>
      </c>
      <c r="C18" t="s">
        <v>393</v>
      </c>
      <c r="D18" t="s">
        <v>411</v>
      </c>
      <c r="E18" t="s">
        <v>22</v>
      </c>
      <c r="F18">
        <v>8</v>
      </c>
      <c r="H18" t="s">
        <v>23</v>
      </c>
      <c r="I18" t="s">
        <v>24</v>
      </c>
      <c r="J18" t="s">
        <v>412</v>
      </c>
      <c r="K18" t="s">
        <v>413</v>
      </c>
      <c r="L18">
        <v>4</v>
      </c>
      <c r="M18" t="s">
        <v>414</v>
      </c>
      <c r="N18" t="s">
        <v>415</v>
      </c>
      <c r="O18">
        <v>5</v>
      </c>
      <c r="P18">
        <f t="shared" si="1"/>
        <v>1.7000000000000002</v>
      </c>
      <c r="Q18" t="s">
        <v>132</v>
      </c>
      <c r="R18">
        <v>3</v>
      </c>
      <c r="S18">
        <v>15</v>
      </c>
      <c r="T18" t="s">
        <v>55</v>
      </c>
    </row>
    <row r="19" spans="1:20" x14ac:dyDescent="0.35">
      <c r="A19">
        <v>1</v>
      </c>
      <c r="B19">
        <v>2</v>
      </c>
      <c r="C19" t="s">
        <v>393</v>
      </c>
      <c r="D19" t="s">
        <v>416</v>
      </c>
      <c r="E19" t="s">
        <v>22</v>
      </c>
      <c r="F19">
        <v>5</v>
      </c>
      <c r="H19" t="s">
        <v>23</v>
      </c>
      <c r="I19" t="s">
        <v>24</v>
      </c>
      <c r="J19" t="s">
        <v>417</v>
      </c>
      <c r="K19">
        <v>115</v>
      </c>
      <c r="L19">
        <v>4</v>
      </c>
      <c r="M19" t="s">
        <v>418</v>
      </c>
      <c r="N19" t="s">
        <v>336</v>
      </c>
      <c r="O19">
        <v>7.4</v>
      </c>
      <c r="P19">
        <f t="shared" si="1"/>
        <v>4.1000000000000005</v>
      </c>
      <c r="Q19" t="s">
        <v>203</v>
      </c>
      <c r="R19">
        <v>3</v>
      </c>
      <c r="S19">
        <v>22</v>
      </c>
      <c r="T19" t="s">
        <v>30</v>
      </c>
    </row>
    <row r="20" spans="1:20" x14ac:dyDescent="0.35">
      <c r="A20">
        <v>1</v>
      </c>
      <c r="B20">
        <v>2</v>
      </c>
      <c r="C20" t="s">
        <v>393</v>
      </c>
      <c r="D20" t="s">
        <v>419</v>
      </c>
      <c r="E20" t="s">
        <v>22</v>
      </c>
      <c r="F20">
        <v>4</v>
      </c>
      <c r="H20" t="s">
        <v>23</v>
      </c>
      <c r="I20" t="s">
        <v>24</v>
      </c>
      <c r="J20" t="s">
        <v>420</v>
      </c>
      <c r="K20" t="s">
        <v>421</v>
      </c>
      <c r="L20">
        <v>4</v>
      </c>
      <c r="M20" t="s">
        <v>422</v>
      </c>
      <c r="N20" t="s">
        <v>423</v>
      </c>
      <c r="O20">
        <v>11.9</v>
      </c>
      <c r="P20">
        <f t="shared" si="1"/>
        <v>8.6000000000000014</v>
      </c>
      <c r="Q20" t="s">
        <v>252</v>
      </c>
      <c r="R20">
        <v>3</v>
      </c>
      <c r="S20">
        <v>45</v>
      </c>
      <c r="T20" t="s">
        <v>109</v>
      </c>
    </row>
    <row r="21" spans="1:20" x14ac:dyDescent="0.35">
      <c r="A21">
        <v>1</v>
      </c>
      <c r="B21">
        <v>2</v>
      </c>
      <c r="C21" t="s">
        <v>393</v>
      </c>
      <c r="D21" t="s">
        <v>424</v>
      </c>
      <c r="E21" t="s">
        <v>22</v>
      </c>
      <c r="F21">
        <v>1</v>
      </c>
      <c r="H21" t="s">
        <v>23</v>
      </c>
      <c r="I21" t="s">
        <v>24</v>
      </c>
      <c r="J21" t="s">
        <v>425</v>
      </c>
      <c r="K21" t="s">
        <v>426</v>
      </c>
      <c r="L21">
        <v>4</v>
      </c>
      <c r="M21" t="s">
        <v>427</v>
      </c>
      <c r="N21" t="s">
        <v>428</v>
      </c>
      <c r="O21">
        <v>8.1999999999999993</v>
      </c>
      <c r="P21">
        <f t="shared" si="1"/>
        <v>4.8999999999999995</v>
      </c>
      <c r="Q21" t="s">
        <v>29</v>
      </c>
      <c r="R21">
        <v>3</v>
      </c>
      <c r="S21">
        <v>22</v>
      </c>
      <c r="T21" t="s">
        <v>36</v>
      </c>
    </row>
    <row r="22" spans="1:20" x14ac:dyDescent="0.35">
      <c r="A22">
        <v>1</v>
      </c>
      <c r="B22">
        <v>2</v>
      </c>
      <c r="C22" t="s">
        <v>393</v>
      </c>
      <c r="D22" t="s">
        <v>429</v>
      </c>
      <c r="E22" t="s">
        <v>22</v>
      </c>
      <c r="F22">
        <v>3</v>
      </c>
      <c r="H22" t="s">
        <v>23</v>
      </c>
      <c r="I22" t="s">
        <v>24</v>
      </c>
      <c r="J22" t="s">
        <v>430</v>
      </c>
      <c r="K22" t="s">
        <v>47</v>
      </c>
      <c r="L22">
        <v>4</v>
      </c>
      <c r="M22" t="s">
        <v>166</v>
      </c>
      <c r="N22" t="s">
        <v>431</v>
      </c>
      <c r="O22">
        <v>10.6</v>
      </c>
      <c r="P22">
        <f t="shared" si="1"/>
        <v>7.3</v>
      </c>
      <c r="Q22">
        <v>4</v>
      </c>
      <c r="R22">
        <v>3</v>
      </c>
      <c r="S22">
        <v>31</v>
      </c>
      <c r="T22" t="s">
        <v>198</v>
      </c>
    </row>
    <row r="24" spans="1:20" x14ac:dyDescent="0.35"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t="s">
        <v>8</v>
      </c>
      <c r="J24" t="s">
        <v>9</v>
      </c>
      <c r="K24" t="s">
        <v>10</v>
      </c>
      <c r="L24" t="s">
        <v>11</v>
      </c>
      <c r="M24" t="s">
        <v>12</v>
      </c>
      <c r="N24" t="s">
        <v>13</v>
      </c>
      <c r="O24" t="s">
        <v>14</v>
      </c>
      <c r="Q24" t="s">
        <v>16</v>
      </c>
      <c r="R24" t="s">
        <v>17</v>
      </c>
      <c r="S24" t="s">
        <v>18</v>
      </c>
      <c r="T24" t="s">
        <v>19</v>
      </c>
    </row>
    <row r="25" spans="1:20" x14ac:dyDescent="0.35">
      <c r="A25">
        <v>2</v>
      </c>
      <c r="B25">
        <v>1</v>
      </c>
      <c r="C25" t="s">
        <v>432</v>
      </c>
      <c r="D25" t="s">
        <v>433</v>
      </c>
      <c r="E25" t="s">
        <v>22</v>
      </c>
      <c r="F25">
        <v>7</v>
      </c>
      <c r="H25" t="s">
        <v>23</v>
      </c>
      <c r="I25" t="s">
        <v>24</v>
      </c>
      <c r="J25" t="s">
        <v>434</v>
      </c>
      <c r="K25" t="s">
        <v>435</v>
      </c>
      <c r="L25">
        <v>4</v>
      </c>
      <c r="M25" t="s">
        <v>436</v>
      </c>
      <c r="N25" t="s">
        <v>54</v>
      </c>
      <c r="O25">
        <v>8.9</v>
      </c>
      <c r="P25">
        <f t="shared" ref="P25:P32" si="2">O25-$N$45</f>
        <v>5.6000000000000005</v>
      </c>
      <c r="Q25">
        <v>3</v>
      </c>
      <c r="R25">
        <v>3</v>
      </c>
      <c r="S25">
        <v>22</v>
      </c>
      <c r="T25" t="s">
        <v>36</v>
      </c>
    </row>
    <row r="26" spans="1:20" x14ac:dyDescent="0.35">
      <c r="A26">
        <v>2</v>
      </c>
      <c r="B26">
        <v>1</v>
      </c>
      <c r="C26" t="s">
        <v>432</v>
      </c>
      <c r="D26" t="s">
        <v>437</v>
      </c>
      <c r="E26" t="s">
        <v>22</v>
      </c>
      <c r="F26">
        <v>1</v>
      </c>
      <c r="H26" t="s">
        <v>23</v>
      </c>
      <c r="I26" t="s">
        <v>24</v>
      </c>
      <c r="J26" t="s">
        <v>438</v>
      </c>
      <c r="K26" t="s">
        <v>439</v>
      </c>
      <c r="L26">
        <v>4</v>
      </c>
      <c r="M26" t="s">
        <v>440</v>
      </c>
      <c r="N26" t="s">
        <v>441</v>
      </c>
      <c r="O26">
        <v>9.6</v>
      </c>
      <c r="P26">
        <f t="shared" si="2"/>
        <v>6.3</v>
      </c>
      <c r="Q26" t="s">
        <v>439</v>
      </c>
      <c r="R26">
        <v>3</v>
      </c>
      <c r="S26">
        <v>25</v>
      </c>
      <c r="T26" t="s">
        <v>189</v>
      </c>
    </row>
    <row r="27" spans="1:20" x14ac:dyDescent="0.35">
      <c r="A27">
        <v>2</v>
      </c>
      <c r="B27">
        <v>1</v>
      </c>
      <c r="C27" t="s">
        <v>432</v>
      </c>
      <c r="D27" t="s">
        <v>442</v>
      </c>
      <c r="E27" t="s">
        <v>22</v>
      </c>
      <c r="F27">
        <v>5</v>
      </c>
      <c r="H27" t="s">
        <v>23</v>
      </c>
      <c r="I27" t="s">
        <v>24</v>
      </c>
      <c r="J27" t="s">
        <v>443</v>
      </c>
      <c r="K27">
        <v>107</v>
      </c>
      <c r="L27">
        <v>4</v>
      </c>
      <c r="M27" t="s">
        <v>444</v>
      </c>
      <c r="N27" t="s">
        <v>445</v>
      </c>
      <c r="O27">
        <v>8.6</v>
      </c>
      <c r="P27">
        <f t="shared" si="2"/>
        <v>5.3</v>
      </c>
      <c r="Q27">
        <v>3</v>
      </c>
      <c r="R27">
        <v>3</v>
      </c>
      <c r="S27">
        <v>21</v>
      </c>
      <c r="T27" t="s">
        <v>36</v>
      </c>
    </row>
    <row r="28" spans="1:20" x14ac:dyDescent="0.35">
      <c r="A28">
        <v>2</v>
      </c>
      <c r="B28">
        <v>1</v>
      </c>
      <c r="C28" t="s">
        <v>432</v>
      </c>
      <c r="D28" t="s">
        <v>446</v>
      </c>
      <c r="E28" t="s">
        <v>22</v>
      </c>
      <c r="F28">
        <v>6</v>
      </c>
      <c r="H28" t="s">
        <v>23</v>
      </c>
      <c r="I28" t="s">
        <v>24</v>
      </c>
      <c r="J28" t="s">
        <v>447</v>
      </c>
      <c r="K28">
        <v>116</v>
      </c>
      <c r="L28">
        <v>4</v>
      </c>
      <c r="M28" t="s">
        <v>448</v>
      </c>
      <c r="N28" t="s">
        <v>449</v>
      </c>
      <c r="O28">
        <v>7.9</v>
      </c>
      <c r="P28">
        <f t="shared" si="2"/>
        <v>4.6000000000000005</v>
      </c>
      <c r="Q28" t="s">
        <v>170</v>
      </c>
      <c r="R28">
        <v>3</v>
      </c>
      <c r="S28">
        <v>24</v>
      </c>
      <c r="T28" t="s">
        <v>30</v>
      </c>
    </row>
    <row r="29" spans="1:20" x14ac:dyDescent="0.35">
      <c r="A29">
        <v>2</v>
      </c>
      <c r="B29">
        <v>1</v>
      </c>
      <c r="C29" t="s">
        <v>432</v>
      </c>
      <c r="D29" t="s">
        <v>450</v>
      </c>
      <c r="E29" t="s">
        <v>22</v>
      </c>
      <c r="F29">
        <v>4</v>
      </c>
      <c r="H29" t="s">
        <v>23</v>
      </c>
      <c r="I29" t="s">
        <v>24</v>
      </c>
      <c r="J29" t="s">
        <v>451</v>
      </c>
      <c r="K29" t="s">
        <v>452</v>
      </c>
      <c r="L29">
        <v>4</v>
      </c>
      <c r="M29" t="s">
        <v>453</v>
      </c>
      <c r="N29" t="s">
        <v>454</v>
      </c>
      <c r="O29">
        <v>8.3000000000000007</v>
      </c>
      <c r="P29">
        <f t="shared" si="2"/>
        <v>5.0000000000000009</v>
      </c>
      <c r="Q29" t="s">
        <v>197</v>
      </c>
      <c r="R29">
        <v>3</v>
      </c>
      <c r="S29">
        <v>21</v>
      </c>
      <c r="T29" t="s">
        <v>36</v>
      </c>
    </row>
    <row r="30" spans="1:20" s="3" customFormat="1" x14ac:dyDescent="0.35">
      <c r="A30" s="3">
        <v>2</v>
      </c>
      <c r="B30" s="3">
        <v>1</v>
      </c>
      <c r="C30" s="3" t="s">
        <v>432</v>
      </c>
      <c r="D30" s="3" t="s">
        <v>455</v>
      </c>
      <c r="E30" s="3" t="s">
        <v>22</v>
      </c>
      <c r="H30" s="3" t="s">
        <v>23</v>
      </c>
      <c r="I30" s="3" t="s">
        <v>77</v>
      </c>
      <c r="J30" s="3" t="s">
        <v>78</v>
      </c>
      <c r="K30" s="3" t="s">
        <v>78</v>
      </c>
      <c r="L30" s="3">
        <v>4</v>
      </c>
      <c r="M30" s="3" t="s">
        <v>79</v>
      </c>
      <c r="N30" s="3" t="s">
        <v>80</v>
      </c>
      <c r="O30" s="3">
        <v>4.3</v>
      </c>
      <c r="P30" s="3">
        <f t="shared" si="2"/>
        <v>1</v>
      </c>
      <c r="Q30" s="3" t="s">
        <v>41</v>
      </c>
      <c r="R30" s="3">
        <v>3</v>
      </c>
      <c r="S30" s="3">
        <v>33</v>
      </c>
      <c r="T30" s="3" t="s">
        <v>81</v>
      </c>
    </row>
    <row r="31" spans="1:20" x14ac:dyDescent="0.35">
      <c r="A31">
        <v>2</v>
      </c>
      <c r="B31">
        <v>1</v>
      </c>
      <c r="C31" t="s">
        <v>432</v>
      </c>
      <c r="D31" t="s">
        <v>456</v>
      </c>
      <c r="E31" t="s">
        <v>22</v>
      </c>
      <c r="F31">
        <v>2</v>
      </c>
      <c r="H31" t="s">
        <v>23</v>
      </c>
      <c r="I31" t="s">
        <v>24</v>
      </c>
      <c r="J31" t="s">
        <v>457</v>
      </c>
      <c r="K31" t="s">
        <v>458</v>
      </c>
      <c r="L31">
        <v>4</v>
      </c>
      <c r="M31">
        <v>98</v>
      </c>
      <c r="N31" t="s">
        <v>459</v>
      </c>
      <c r="O31">
        <v>10.3</v>
      </c>
      <c r="P31">
        <f t="shared" si="2"/>
        <v>7.0000000000000009</v>
      </c>
      <c r="Q31" t="s">
        <v>460</v>
      </c>
      <c r="R31">
        <v>3</v>
      </c>
      <c r="S31">
        <v>24</v>
      </c>
      <c r="T31" t="s">
        <v>198</v>
      </c>
    </row>
    <row r="32" spans="1:20" x14ac:dyDescent="0.35">
      <c r="A32">
        <v>2</v>
      </c>
      <c r="B32">
        <v>1</v>
      </c>
      <c r="C32" t="s">
        <v>432</v>
      </c>
      <c r="D32" t="s">
        <v>461</v>
      </c>
      <c r="E32" t="s">
        <v>22</v>
      </c>
      <c r="F32">
        <v>3</v>
      </c>
      <c r="H32" t="s">
        <v>23</v>
      </c>
      <c r="I32" t="s">
        <v>24</v>
      </c>
      <c r="J32" t="s">
        <v>462</v>
      </c>
      <c r="K32" t="s">
        <v>463</v>
      </c>
      <c r="L32">
        <v>4</v>
      </c>
      <c r="M32" t="s">
        <v>464</v>
      </c>
      <c r="N32" t="s">
        <v>465</v>
      </c>
      <c r="O32">
        <v>10.1</v>
      </c>
      <c r="P32">
        <f t="shared" si="2"/>
        <v>6.8</v>
      </c>
      <c r="Q32" t="s">
        <v>108</v>
      </c>
      <c r="R32">
        <v>3</v>
      </c>
      <c r="S32">
        <v>33</v>
      </c>
      <c r="T32" t="s">
        <v>189</v>
      </c>
    </row>
    <row r="34" spans="1:20" x14ac:dyDescent="0.35"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7</v>
      </c>
      <c r="I34" t="s">
        <v>8</v>
      </c>
      <c r="J34" t="s">
        <v>9</v>
      </c>
      <c r="K34" t="s">
        <v>10</v>
      </c>
      <c r="L34" t="s">
        <v>11</v>
      </c>
      <c r="M34" t="s">
        <v>12</v>
      </c>
      <c r="N34" t="s">
        <v>13</v>
      </c>
      <c r="O34" t="s">
        <v>14</v>
      </c>
      <c r="Q34" t="s">
        <v>16</v>
      </c>
      <c r="R34" t="s">
        <v>17</v>
      </c>
      <c r="S34" t="s">
        <v>18</v>
      </c>
      <c r="T34" t="s">
        <v>19</v>
      </c>
    </row>
    <row r="35" spans="1:20" x14ac:dyDescent="0.35">
      <c r="A35">
        <v>2</v>
      </c>
      <c r="B35">
        <v>2</v>
      </c>
      <c r="C35" t="s">
        <v>466</v>
      </c>
      <c r="D35" t="s">
        <v>467</v>
      </c>
      <c r="E35" t="s">
        <v>22</v>
      </c>
      <c r="F35">
        <v>6</v>
      </c>
      <c r="H35" t="s">
        <v>23</v>
      </c>
      <c r="I35" t="s">
        <v>24</v>
      </c>
      <c r="J35" t="s">
        <v>381</v>
      </c>
      <c r="K35" t="s">
        <v>167</v>
      </c>
      <c r="L35">
        <v>4</v>
      </c>
      <c r="M35" t="s">
        <v>468</v>
      </c>
      <c r="N35" t="s">
        <v>178</v>
      </c>
      <c r="O35">
        <v>8</v>
      </c>
      <c r="P35">
        <f t="shared" ref="P35:P42" si="3">O35-$N$45</f>
        <v>4.7</v>
      </c>
      <c r="Q35" t="s">
        <v>170</v>
      </c>
      <c r="R35">
        <v>3</v>
      </c>
      <c r="S35">
        <v>21</v>
      </c>
      <c r="T35" t="s">
        <v>36</v>
      </c>
    </row>
    <row r="36" spans="1:20" x14ac:dyDescent="0.35">
      <c r="A36">
        <v>2</v>
      </c>
      <c r="B36">
        <v>2</v>
      </c>
      <c r="C36" t="s">
        <v>466</v>
      </c>
      <c r="D36" t="s">
        <v>469</v>
      </c>
      <c r="E36" t="s">
        <v>22</v>
      </c>
      <c r="F36">
        <v>5</v>
      </c>
      <c r="H36" t="s">
        <v>23</v>
      </c>
      <c r="I36" t="s">
        <v>24</v>
      </c>
      <c r="J36" t="s">
        <v>470</v>
      </c>
      <c r="K36">
        <v>90</v>
      </c>
      <c r="L36">
        <v>4</v>
      </c>
      <c r="M36" t="s">
        <v>471</v>
      </c>
      <c r="N36" t="s">
        <v>64</v>
      </c>
      <c r="O36">
        <v>8.4</v>
      </c>
      <c r="P36">
        <f t="shared" si="3"/>
        <v>5.1000000000000005</v>
      </c>
      <c r="Q36" t="s">
        <v>170</v>
      </c>
      <c r="R36">
        <v>3</v>
      </c>
      <c r="S36">
        <v>20</v>
      </c>
      <c r="T36" t="s">
        <v>36</v>
      </c>
    </row>
    <row r="37" spans="1:20" x14ac:dyDescent="0.35">
      <c r="A37">
        <v>2</v>
      </c>
      <c r="B37">
        <v>2</v>
      </c>
      <c r="C37" t="s">
        <v>466</v>
      </c>
      <c r="D37" t="s">
        <v>472</v>
      </c>
      <c r="E37" t="s">
        <v>22</v>
      </c>
      <c r="F37">
        <v>8</v>
      </c>
      <c r="H37" t="s">
        <v>23</v>
      </c>
      <c r="I37" t="s">
        <v>24</v>
      </c>
      <c r="J37" t="s">
        <v>473</v>
      </c>
      <c r="K37" t="s">
        <v>228</v>
      </c>
      <c r="L37">
        <v>4</v>
      </c>
      <c r="M37" t="s">
        <v>474</v>
      </c>
      <c r="N37" t="s">
        <v>113</v>
      </c>
      <c r="O37">
        <v>7.6</v>
      </c>
      <c r="P37">
        <f t="shared" si="3"/>
        <v>4.3</v>
      </c>
      <c r="Q37" t="s">
        <v>100</v>
      </c>
      <c r="R37">
        <v>3</v>
      </c>
      <c r="S37">
        <v>18</v>
      </c>
      <c r="T37" t="s">
        <v>30</v>
      </c>
    </row>
    <row r="38" spans="1:20" x14ac:dyDescent="0.35">
      <c r="A38">
        <v>2</v>
      </c>
      <c r="B38">
        <v>2</v>
      </c>
      <c r="C38" t="s">
        <v>466</v>
      </c>
      <c r="D38" t="s">
        <v>475</v>
      </c>
      <c r="E38" t="s">
        <v>22</v>
      </c>
      <c r="F38">
        <v>1</v>
      </c>
      <c r="H38" t="s">
        <v>23</v>
      </c>
      <c r="I38" t="s">
        <v>24</v>
      </c>
      <c r="J38" t="s">
        <v>476</v>
      </c>
      <c r="K38" t="s">
        <v>477</v>
      </c>
      <c r="L38">
        <v>4</v>
      </c>
      <c r="M38" t="s">
        <v>478</v>
      </c>
      <c r="N38" t="s">
        <v>336</v>
      </c>
      <c r="O38">
        <v>10.5</v>
      </c>
      <c r="P38">
        <f t="shared" si="3"/>
        <v>7.2</v>
      </c>
      <c r="Q38" t="s">
        <v>479</v>
      </c>
      <c r="R38">
        <v>3</v>
      </c>
      <c r="S38">
        <v>24</v>
      </c>
      <c r="T38" t="s">
        <v>198</v>
      </c>
    </row>
    <row r="39" spans="1:20" x14ac:dyDescent="0.35">
      <c r="A39">
        <v>2</v>
      </c>
      <c r="B39">
        <v>2</v>
      </c>
      <c r="C39" t="s">
        <v>466</v>
      </c>
      <c r="D39" t="s">
        <v>480</v>
      </c>
      <c r="E39" t="s">
        <v>22</v>
      </c>
      <c r="F39">
        <v>4</v>
      </c>
      <c r="H39" t="s">
        <v>23</v>
      </c>
      <c r="I39" t="s">
        <v>24</v>
      </c>
      <c r="J39">
        <v>10</v>
      </c>
      <c r="K39" t="s">
        <v>481</v>
      </c>
      <c r="L39">
        <v>4</v>
      </c>
      <c r="M39">
        <v>153</v>
      </c>
      <c r="N39">
        <v>48</v>
      </c>
      <c r="O39">
        <v>10.4</v>
      </c>
      <c r="P39">
        <f t="shared" si="3"/>
        <v>7.1000000000000005</v>
      </c>
      <c r="Q39" t="s">
        <v>197</v>
      </c>
      <c r="R39">
        <v>3</v>
      </c>
      <c r="S39">
        <v>22</v>
      </c>
      <c r="T39" t="s">
        <v>198</v>
      </c>
    </row>
    <row r="40" spans="1:20" x14ac:dyDescent="0.35">
      <c r="A40">
        <v>2</v>
      </c>
      <c r="B40">
        <v>2</v>
      </c>
      <c r="C40" t="s">
        <v>466</v>
      </c>
      <c r="D40" t="s">
        <v>482</v>
      </c>
      <c r="E40" t="s">
        <v>22</v>
      </c>
      <c r="F40">
        <v>7</v>
      </c>
      <c r="H40" t="s">
        <v>23</v>
      </c>
      <c r="I40" t="s">
        <v>24</v>
      </c>
      <c r="J40" t="s">
        <v>483</v>
      </c>
      <c r="K40" t="s">
        <v>484</v>
      </c>
      <c r="L40">
        <v>4</v>
      </c>
      <c r="M40" t="s">
        <v>485</v>
      </c>
      <c r="N40">
        <v>58</v>
      </c>
      <c r="O40">
        <v>7.5</v>
      </c>
      <c r="P40">
        <f t="shared" si="3"/>
        <v>4.2</v>
      </c>
      <c r="Q40" t="s">
        <v>141</v>
      </c>
      <c r="R40">
        <v>3</v>
      </c>
      <c r="S40">
        <v>17</v>
      </c>
      <c r="T40" t="s">
        <v>30</v>
      </c>
    </row>
    <row r="41" spans="1:20" s="3" customFormat="1" x14ac:dyDescent="0.35">
      <c r="A41" s="3">
        <v>2</v>
      </c>
      <c r="B41" s="3">
        <v>2</v>
      </c>
      <c r="C41" s="3" t="s">
        <v>466</v>
      </c>
      <c r="D41" s="3" t="s">
        <v>486</v>
      </c>
      <c r="E41" s="3" t="s">
        <v>22</v>
      </c>
      <c r="H41" s="3" t="s">
        <v>23</v>
      </c>
      <c r="I41" s="3" t="s">
        <v>77</v>
      </c>
      <c r="J41" s="3" t="s">
        <v>78</v>
      </c>
      <c r="K41" s="3" t="s">
        <v>78</v>
      </c>
      <c r="L41" s="3">
        <v>4</v>
      </c>
      <c r="M41" s="3" t="s">
        <v>79</v>
      </c>
      <c r="N41" s="3" t="s">
        <v>80</v>
      </c>
      <c r="O41" s="3">
        <v>4.2</v>
      </c>
      <c r="P41" s="3">
        <f t="shared" si="3"/>
        <v>0.90000000000000036</v>
      </c>
      <c r="Q41" s="3" t="s">
        <v>118</v>
      </c>
      <c r="R41" s="3">
        <v>3</v>
      </c>
      <c r="S41" s="3">
        <v>53</v>
      </c>
      <c r="T41" s="3" t="s">
        <v>81</v>
      </c>
    </row>
    <row r="42" spans="1:20" x14ac:dyDescent="0.35">
      <c r="A42">
        <v>2</v>
      </c>
      <c r="B42">
        <v>2</v>
      </c>
      <c r="C42" t="s">
        <v>466</v>
      </c>
      <c r="D42" t="s">
        <v>487</v>
      </c>
      <c r="E42" t="s">
        <v>22</v>
      </c>
      <c r="F42">
        <v>2</v>
      </c>
      <c r="H42" t="s">
        <v>23</v>
      </c>
      <c r="I42" t="s">
        <v>24</v>
      </c>
      <c r="J42">
        <v>91</v>
      </c>
      <c r="K42" t="s">
        <v>488</v>
      </c>
      <c r="L42">
        <v>4</v>
      </c>
      <c r="M42" t="s">
        <v>186</v>
      </c>
      <c r="N42" t="s">
        <v>449</v>
      </c>
      <c r="O42">
        <v>10.8</v>
      </c>
      <c r="P42">
        <f t="shared" si="3"/>
        <v>7.5000000000000009</v>
      </c>
      <c r="Q42" t="s">
        <v>259</v>
      </c>
      <c r="R42">
        <v>3</v>
      </c>
      <c r="S42">
        <v>26</v>
      </c>
      <c r="T42" t="s">
        <v>198</v>
      </c>
    </row>
    <row r="45" spans="1:20" x14ac:dyDescent="0.35">
      <c r="K45" t="s">
        <v>351</v>
      </c>
      <c r="N45">
        <v>3.3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4"/>
  <sheetViews>
    <sheetView zoomScaleNormal="100" workbookViewId="0">
      <selection activeCell="F63" sqref="F63"/>
    </sheetView>
  </sheetViews>
  <sheetFormatPr defaultColWidth="8.6328125"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s="2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1</v>
      </c>
      <c r="B2">
        <v>1</v>
      </c>
      <c r="C2" t="s">
        <v>489</v>
      </c>
      <c r="D2" t="s">
        <v>490</v>
      </c>
      <c r="E2" t="s">
        <v>22</v>
      </c>
      <c r="F2">
        <v>3</v>
      </c>
      <c r="H2" t="s">
        <v>23</v>
      </c>
      <c r="I2" t="s">
        <v>24</v>
      </c>
      <c r="J2" t="s">
        <v>491</v>
      </c>
      <c r="K2" t="s">
        <v>492</v>
      </c>
      <c r="L2">
        <v>4</v>
      </c>
      <c r="M2" t="s">
        <v>493</v>
      </c>
      <c r="N2" t="s">
        <v>316</v>
      </c>
      <c r="O2">
        <v>12.9</v>
      </c>
      <c r="P2">
        <f t="shared" ref="P2:P13" si="0">O2-$M$64</f>
        <v>9.5300000000000011</v>
      </c>
      <c r="Q2">
        <v>6</v>
      </c>
      <c r="R2">
        <v>3</v>
      </c>
      <c r="S2">
        <v>46</v>
      </c>
      <c r="T2" t="s">
        <v>274</v>
      </c>
    </row>
    <row r="3" spans="1:20" x14ac:dyDescent="0.35">
      <c r="A3">
        <v>1</v>
      </c>
      <c r="B3">
        <v>1</v>
      </c>
      <c r="C3" t="s">
        <v>489</v>
      </c>
      <c r="D3" t="s">
        <v>494</v>
      </c>
      <c r="E3" t="s">
        <v>22</v>
      </c>
      <c r="F3">
        <v>2</v>
      </c>
      <c r="H3" t="s">
        <v>23</v>
      </c>
      <c r="I3" t="s">
        <v>24</v>
      </c>
      <c r="J3" t="s">
        <v>495</v>
      </c>
      <c r="K3">
        <v>16</v>
      </c>
      <c r="L3">
        <v>4</v>
      </c>
      <c r="M3" t="s">
        <v>496</v>
      </c>
      <c r="N3" t="s">
        <v>94</v>
      </c>
      <c r="O3">
        <v>18.600000000000001</v>
      </c>
      <c r="P3">
        <f t="shared" si="0"/>
        <v>15.23</v>
      </c>
      <c r="Q3" t="s">
        <v>497</v>
      </c>
      <c r="R3">
        <v>3</v>
      </c>
      <c r="S3">
        <v>61</v>
      </c>
      <c r="T3" t="s">
        <v>498</v>
      </c>
    </row>
    <row r="4" spans="1:20" x14ac:dyDescent="0.35">
      <c r="A4">
        <v>1</v>
      </c>
      <c r="B4">
        <v>1</v>
      </c>
      <c r="C4" t="s">
        <v>489</v>
      </c>
      <c r="D4" t="s">
        <v>499</v>
      </c>
      <c r="E4" t="s">
        <v>22</v>
      </c>
      <c r="F4">
        <v>8</v>
      </c>
      <c r="H4" t="s">
        <v>23</v>
      </c>
      <c r="I4" t="s">
        <v>24</v>
      </c>
      <c r="J4" t="s">
        <v>55</v>
      </c>
      <c r="K4" t="s">
        <v>500</v>
      </c>
      <c r="L4">
        <v>4</v>
      </c>
      <c r="M4" t="s">
        <v>501</v>
      </c>
      <c r="N4" t="s">
        <v>316</v>
      </c>
      <c r="O4">
        <v>30</v>
      </c>
      <c r="P4">
        <f t="shared" si="0"/>
        <v>26.63</v>
      </c>
      <c r="Q4" t="s">
        <v>502</v>
      </c>
      <c r="R4">
        <v>3</v>
      </c>
      <c r="S4">
        <v>94</v>
      </c>
      <c r="T4" t="s">
        <v>290</v>
      </c>
    </row>
    <row r="5" spans="1:20" x14ac:dyDescent="0.35">
      <c r="A5">
        <v>1</v>
      </c>
      <c r="B5">
        <v>1</v>
      </c>
      <c r="C5" t="s">
        <v>489</v>
      </c>
      <c r="D5" t="s">
        <v>503</v>
      </c>
      <c r="E5" t="s">
        <v>22</v>
      </c>
      <c r="F5">
        <v>5</v>
      </c>
      <c r="H5" t="s">
        <v>23</v>
      </c>
      <c r="I5" t="s">
        <v>24</v>
      </c>
      <c r="J5" t="s">
        <v>504</v>
      </c>
      <c r="K5" t="s">
        <v>354</v>
      </c>
      <c r="L5">
        <v>4</v>
      </c>
      <c r="M5" t="s">
        <v>505</v>
      </c>
      <c r="N5" t="s">
        <v>47</v>
      </c>
      <c r="O5">
        <v>12.8</v>
      </c>
      <c r="P5">
        <f t="shared" si="0"/>
        <v>9.43</v>
      </c>
      <c r="Q5" t="s">
        <v>506</v>
      </c>
      <c r="R5">
        <v>3</v>
      </c>
      <c r="S5">
        <v>43</v>
      </c>
      <c r="T5" t="s">
        <v>274</v>
      </c>
    </row>
    <row r="6" spans="1:20" x14ac:dyDescent="0.35">
      <c r="A6">
        <v>1</v>
      </c>
      <c r="B6">
        <v>1</v>
      </c>
      <c r="C6" t="s">
        <v>489</v>
      </c>
      <c r="D6" t="s">
        <v>507</v>
      </c>
      <c r="E6" t="s">
        <v>22</v>
      </c>
      <c r="F6">
        <v>7</v>
      </c>
      <c r="H6" t="s">
        <v>23</v>
      </c>
      <c r="I6" t="s">
        <v>24</v>
      </c>
      <c r="J6" t="s">
        <v>508</v>
      </c>
      <c r="K6" t="s">
        <v>509</v>
      </c>
      <c r="L6">
        <v>4</v>
      </c>
      <c r="M6" t="s">
        <v>510</v>
      </c>
      <c r="N6" t="s">
        <v>511</v>
      </c>
      <c r="O6">
        <v>11.7</v>
      </c>
      <c r="P6">
        <f t="shared" si="0"/>
        <v>8.3299999999999983</v>
      </c>
      <c r="Q6" t="s">
        <v>512</v>
      </c>
      <c r="R6">
        <v>3</v>
      </c>
      <c r="S6">
        <v>30</v>
      </c>
      <c r="T6" t="s">
        <v>109</v>
      </c>
    </row>
    <row r="7" spans="1:20" s="3" customFormat="1" x14ac:dyDescent="0.35">
      <c r="A7" s="3">
        <v>1</v>
      </c>
      <c r="B7" s="3">
        <v>1</v>
      </c>
      <c r="C7" s="3" t="s">
        <v>489</v>
      </c>
      <c r="D7" s="3" t="s">
        <v>513</v>
      </c>
      <c r="E7" s="3" t="s">
        <v>22</v>
      </c>
      <c r="H7" s="3" t="s">
        <v>23</v>
      </c>
      <c r="I7" s="3" t="s">
        <v>77</v>
      </c>
      <c r="J7" s="3" t="s">
        <v>78</v>
      </c>
      <c r="K7" s="3" t="s">
        <v>78</v>
      </c>
      <c r="L7" s="3">
        <v>4</v>
      </c>
      <c r="M7" s="3" t="s">
        <v>79</v>
      </c>
      <c r="N7" s="3" t="s">
        <v>80</v>
      </c>
      <c r="O7" s="3">
        <v>4.5999999999999996</v>
      </c>
      <c r="P7" s="3">
        <f t="shared" si="0"/>
        <v>1.2299999999999995</v>
      </c>
      <c r="Q7" s="3" t="s">
        <v>514</v>
      </c>
      <c r="R7" s="3">
        <v>3</v>
      </c>
      <c r="S7" s="3">
        <v>255</v>
      </c>
      <c r="T7" s="3" t="s">
        <v>81</v>
      </c>
    </row>
    <row r="8" spans="1:20" x14ac:dyDescent="0.35">
      <c r="A8">
        <v>1</v>
      </c>
      <c r="B8">
        <v>1</v>
      </c>
      <c r="C8" t="s">
        <v>489</v>
      </c>
      <c r="D8" t="s">
        <v>515</v>
      </c>
      <c r="E8" t="s">
        <v>22</v>
      </c>
      <c r="F8">
        <v>1</v>
      </c>
      <c r="H8" t="s">
        <v>23</v>
      </c>
      <c r="I8" t="s">
        <v>24</v>
      </c>
      <c r="J8" t="s">
        <v>516</v>
      </c>
      <c r="K8" t="s">
        <v>517</v>
      </c>
      <c r="L8">
        <v>4</v>
      </c>
      <c r="M8" t="s">
        <v>518</v>
      </c>
      <c r="N8" t="s">
        <v>172</v>
      </c>
      <c r="O8">
        <v>23.8</v>
      </c>
      <c r="P8">
        <f t="shared" si="0"/>
        <v>20.43</v>
      </c>
      <c r="Q8" t="s">
        <v>519</v>
      </c>
      <c r="R8">
        <v>3</v>
      </c>
      <c r="S8">
        <v>78</v>
      </c>
      <c r="T8" t="s">
        <v>520</v>
      </c>
    </row>
    <row r="9" spans="1:20" x14ac:dyDescent="0.35">
      <c r="A9">
        <v>1</v>
      </c>
      <c r="B9">
        <v>1</v>
      </c>
      <c r="C9" t="s">
        <v>489</v>
      </c>
      <c r="D9" t="s">
        <v>521</v>
      </c>
      <c r="E9" t="s">
        <v>22</v>
      </c>
      <c r="F9">
        <v>9</v>
      </c>
      <c r="H9" t="s">
        <v>23</v>
      </c>
      <c r="I9" t="s">
        <v>24</v>
      </c>
      <c r="J9" t="s">
        <v>522</v>
      </c>
      <c r="K9" t="s">
        <v>152</v>
      </c>
      <c r="L9">
        <v>4</v>
      </c>
      <c r="M9" t="s">
        <v>523</v>
      </c>
      <c r="N9" t="s">
        <v>386</v>
      </c>
      <c r="O9">
        <v>15</v>
      </c>
      <c r="P9">
        <f t="shared" si="0"/>
        <v>11.629999999999999</v>
      </c>
      <c r="Q9">
        <v>9</v>
      </c>
      <c r="R9">
        <v>3</v>
      </c>
      <c r="S9">
        <v>44</v>
      </c>
      <c r="T9" t="s">
        <v>253</v>
      </c>
    </row>
    <row r="10" spans="1:20" x14ac:dyDescent="0.35">
      <c r="A10">
        <v>1</v>
      </c>
      <c r="B10">
        <v>1</v>
      </c>
      <c r="C10" t="s">
        <v>489</v>
      </c>
      <c r="D10" t="s">
        <v>524</v>
      </c>
      <c r="E10" t="s">
        <v>22</v>
      </c>
      <c r="F10">
        <v>4</v>
      </c>
      <c r="H10" t="s">
        <v>23</v>
      </c>
      <c r="I10" t="s">
        <v>24</v>
      </c>
      <c r="J10" t="s">
        <v>525</v>
      </c>
      <c r="K10" t="s">
        <v>354</v>
      </c>
      <c r="L10">
        <v>4</v>
      </c>
      <c r="M10" t="s">
        <v>526</v>
      </c>
      <c r="N10" t="s">
        <v>386</v>
      </c>
      <c r="O10">
        <v>17.3</v>
      </c>
      <c r="P10">
        <f t="shared" si="0"/>
        <v>13.93</v>
      </c>
      <c r="Q10" t="s">
        <v>527</v>
      </c>
      <c r="R10">
        <v>3</v>
      </c>
      <c r="S10">
        <v>56</v>
      </c>
      <c r="T10" t="s">
        <v>528</v>
      </c>
    </row>
    <row r="11" spans="1:20" x14ac:dyDescent="0.35">
      <c r="A11">
        <v>1</v>
      </c>
      <c r="B11">
        <v>1</v>
      </c>
      <c r="C11" t="s">
        <v>489</v>
      </c>
      <c r="D11" t="s">
        <v>529</v>
      </c>
      <c r="E11" t="s">
        <v>22</v>
      </c>
      <c r="F11">
        <v>10</v>
      </c>
      <c r="H11" t="s">
        <v>23</v>
      </c>
      <c r="I11" t="s">
        <v>24</v>
      </c>
      <c r="J11" t="s">
        <v>528</v>
      </c>
      <c r="K11" t="s">
        <v>530</v>
      </c>
      <c r="L11">
        <v>4</v>
      </c>
      <c r="M11" t="s">
        <v>58</v>
      </c>
      <c r="N11" t="s">
        <v>335</v>
      </c>
      <c r="O11">
        <v>21.1</v>
      </c>
      <c r="P11">
        <f t="shared" si="0"/>
        <v>17.73</v>
      </c>
      <c r="Q11" t="s">
        <v>497</v>
      </c>
      <c r="R11">
        <v>3</v>
      </c>
      <c r="S11">
        <v>61</v>
      </c>
      <c r="T11" t="s">
        <v>531</v>
      </c>
    </row>
    <row r="12" spans="1:20" x14ac:dyDescent="0.35">
      <c r="A12">
        <v>1</v>
      </c>
      <c r="B12">
        <v>1</v>
      </c>
      <c r="C12" t="s">
        <v>489</v>
      </c>
      <c r="D12" t="s">
        <v>532</v>
      </c>
      <c r="E12" t="s">
        <v>22</v>
      </c>
      <c r="F12">
        <v>11</v>
      </c>
      <c r="H12" t="s">
        <v>23</v>
      </c>
      <c r="I12" t="s">
        <v>24</v>
      </c>
      <c r="J12" t="s">
        <v>533</v>
      </c>
      <c r="K12">
        <v>173</v>
      </c>
      <c r="L12">
        <v>4</v>
      </c>
      <c r="M12">
        <v>163</v>
      </c>
      <c r="N12" t="s">
        <v>314</v>
      </c>
      <c r="O12">
        <v>9.3000000000000007</v>
      </c>
      <c r="P12">
        <f t="shared" si="0"/>
        <v>5.9300000000000006</v>
      </c>
      <c r="Q12" t="s">
        <v>220</v>
      </c>
      <c r="R12">
        <v>3</v>
      </c>
      <c r="S12">
        <v>30</v>
      </c>
      <c r="T12" t="s">
        <v>36</v>
      </c>
    </row>
    <row r="13" spans="1:20" x14ac:dyDescent="0.35">
      <c r="A13">
        <v>1</v>
      </c>
      <c r="B13">
        <v>1</v>
      </c>
      <c r="C13" t="s">
        <v>489</v>
      </c>
      <c r="D13" t="s">
        <v>534</v>
      </c>
      <c r="E13" t="s">
        <v>22</v>
      </c>
      <c r="F13">
        <v>6</v>
      </c>
      <c r="H13" t="s">
        <v>23</v>
      </c>
      <c r="I13" t="s">
        <v>24</v>
      </c>
      <c r="J13" t="s">
        <v>535</v>
      </c>
      <c r="K13" t="s">
        <v>536</v>
      </c>
      <c r="L13">
        <v>4</v>
      </c>
      <c r="M13" t="s">
        <v>537</v>
      </c>
      <c r="N13">
        <v>50</v>
      </c>
      <c r="O13">
        <v>11.4</v>
      </c>
      <c r="P13">
        <f t="shared" si="0"/>
        <v>8.0300000000000011</v>
      </c>
      <c r="Q13">
        <v>5</v>
      </c>
      <c r="R13">
        <v>3</v>
      </c>
      <c r="S13">
        <v>40</v>
      </c>
      <c r="T13" t="s">
        <v>109</v>
      </c>
    </row>
    <row r="15" spans="1:20" x14ac:dyDescent="0.35"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t="s">
        <v>9</v>
      </c>
      <c r="K15" t="s">
        <v>10</v>
      </c>
      <c r="L15" t="s">
        <v>11</v>
      </c>
      <c r="M15" t="s">
        <v>12</v>
      </c>
      <c r="N15" t="s">
        <v>13</v>
      </c>
      <c r="O15" t="s">
        <v>14</v>
      </c>
      <c r="Q15" t="s">
        <v>16</v>
      </c>
      <c r="R15" t="s">
        <v>17</v>
      </c>
      <c r="S15" t="s">
        <v>18</v>
      </c>
      <c r="T15" t="s">
        <v>19</v>
      </c>
    </row>
    <row r="16" spans="1:20" x14ac:dyDescent="0.35">
      <c r="A16">
        <v>1</v>
      </c>
      <c r="B16">
        <v>2</v>
      </c>
      <c r="C16" t="s">
        <v>538</v>
      </c>
      <c r="D16" t="s">
        <v>539</v>
      </c>
      <c r="E16" t="s">
        <v>22</v>
      </c>
      <c r="F16">
        <v>1</v>
      </c>
      <c r="H16" t="s">
        <v>23</v>
      </c>
      <c r="I16" t="s">
        <v>24</v>
      </c>
      <c r="J16" t="s">
        <v>540</v>
      </c>
      <c r="K16" t="s">
        <v>55</v>
      </c>
      <c r="L16">
        <v>3</v>
      </c>
      <c r="M16" t="s">
        <v>163</v>
      </c>
      <c r="N16" t="s">
        <v>541</v>
      </c>
      <c r="O16">
        <v>15</v>
      </c>
      <c r="P16">
        <f t="shared" ref="P16:P29" si="1">O16-$M$64</f>
        <v>11.629999999999999</v>
      </c>
      <c r="Q16" t="s">
        <v>542</v>
      </c>
      <c r="R16">
        <v>4</v>
      </c>
      <c r="S16">
        <v>46</v>
      </c>
      <c r="T16" t="s">
        <v>253</v>
      </c>
    </row>
    <row r="17" spans="1:20" x14ac:dyDescent="0.35">
      <c r="A17">
        <v>1</v>
      </c>
      <c r="B17">
        <v>2</v>
      </c>
      <c r="C17" t="s">
        <v>538</v>
      </c>
      <c r="D17" t="s">
        <v>543</v>
      </c>
      <c r="E17" t="s">
        <v>22</v>
      </c>
      <c r="F17">
        <v>2</v>
      </c>
      <c r="H17" t="s">
        <v>23</v>
      </c>
      <c r="I17" t="s">
        <v>24</v>
      </c>
      <c r="J17" t="s">
        <v>544</v>
      </c>
      <c r="K17">
        <v>46</v>
      </c>
      <c r="L17">
        <v>4</v>
      </c>
      <c r="M17" t="s">
        <v>545</v>
      </c>
      <c r="N17" t="s">
        <v>28</v>
      </c>
      <c r="O17">
        <v>17.8</v>
      </c>
      <c r="P17">
        <f t="shared" si="1"/>
        <v>14.43</v>
      </c>
      <c r="Q17" t="s">
        <v>527</v>
      </c>
      <c r="R17">
        <v>3</v>
      </c>
      <c r="S17">
        <v>70</v>
      </c>
      <c r="T17" t="s">
        <v>49</v>
      </c>
    </row>
    <row r="18" spans="1:20" x14ac:dyDescent="0.35">
      <c r="A18">
        <v>1</v>
      </c>
      <c r="B18">
        <v>2</v>
      </c>
      <c r="C18" t="s">
        <v>538</v>
      </c>
      <c r="D18" t="s">
        <v>546</v>
      </c>
      <c r="E18" t="s">
        <v>22</v>
      </c>
      <c r="F18">
        <v>5</v>
      </c>
      <c r="H18" t="s">
        <v>23</v>
      </c>
      <c r="I18" t="s">
        <v>24</v>
      </c>
      <c r="J18">
        <v>75</v>
      </c>
      <c r="K18" t="s">
        <v>547</v>
      </c>
      <c r="L18">
        <v>4</v>
      </c>
      <c r="M18" t="s">
        <v>548</v>
      </c>
      <c r="N18" t="s">
        <v>549</v>
      </c>
      <c r="O18">
        <v>13.5</v>
      </c>
      <c r="P18">
        <f t="shared" si="1"/>
        <v>10.129999999999999</v>
      </c>
      <c r="Q18" t="s">
        <v>363</v>
      </c>
      <c r="R18">
        <v>4</v>
      </c>
      <c r="S18">
        <v>36</v>
      </c>
      <c r="T18" t="s">
        <v>238</v>
      </c>
    </row>
    <row r="19" spans="1:20" x14ac:dyDescent="0.35">
      <c r="A19">
        <v>1</v>
      </c>
      <c r="B19">
        <v>2</v>
      </c>
      <c r="C19" t="s">
        <v>538</v>
      </c>
      <c r="D19" s="4" t="s">
        <v>550</v>
      </c>
      <c r="E19" t="s">
        <v>22</v>
      </c>
      <c r="F19">
        <v>11</v>
      </c>
      <c r="H19" t="s">
        <v>23</v>
      </c>
      <c r="I19" t="s">
        <v>24</v>
      </c>
      <c r="J19" t="s">
        <v>551</v>
      </c>
      <c r="K19" t="s">
        <v>85</v>
      </c>
      <c r="L19">
        <v>3</v>
      </c>
      <c r="M19" t="s">
        <v>552</v>
      </c>
      <c r="N19" t="s">
        <v>553</v>
      </c>
      <c r="O19">
        <v>22.5</v>
      </c>
      <c r="P19">
        <f t="shared" si="1"/>
        <v>19.13</v>
      </c>
      <c r="Q19" t="s">
        <v>554</v>
      </c>
      <c r="R19">
        <v>4</v>
      </c>
      <c r="S19">
        <v>57</v>
      </c>
      <c r="T19" t="s">
        <v>555</v>
      </c>
    </row>
    <row r="20" spans="1:20" x14ac:dyDescent="0.35">
      <c r="A20">
        <v>1</v>
      </c>
      <c r="B20">
        <v>2</v>
      </c>
      <c r="C20" t="s">
        <v>538</v>
      </c>
      <c r="D20" t="s">
        <v>556</v>
      </c>
      <c r="E20" t="s">
        <v>22</v>
      </c>
      <c r="F20">
        <v>9</v>
      </c>
      <c r="H20" t="s">
        <v>23</v>
      </c>
      <c r="I20" t="s">
        <v>24</v>
      </c>
      <c r="J20" t="s">
        <v>557</v>
      </c>
      <c r="K20" t="s">
        <v>558</v>
      </c>
      <c r="L20">
        <v>3</v>
      </c>
      <c r="M20" t="s">
        <v>131</v>
      </c>
      <c r="N20" t="s">
        <v>559</v>
      </c>
      <c r="O20">
        <v>19</v>
      </c>
      <c r="P20">
        <f t="shared" si="1"/>
        <v>15.629999999999999</v>
      </c>
      <c r="Q20" t="s">
        <v>560</v>
      </c>
      <c r="R20">
        <v>3</v>
      </c>
      <c r="S20">
        <v>49</v>
      </c>
      <c r="T20" t="s">
        <v>498</v>
      </c>
    </row>
    <row r="21" spans="1:20" x14ac:dyDescent="0.35">
      <c r="A21">
        <v>1</v>
      </c>
      <c r="B21">
        <v>2</v>
      </c>
      <c r="C21" t="s">
        <v>538</v>
      </c>
      <c r="D21" t="s">
        <v>561</v>
      </c>
      <c r="E21" t="s">
        <v>22</v>
      </c>
      <c r="F21">
        <v>2</v>
      </c>
      <c r="H21" t="s">
        <v>23</v>
      </c>
      <c r="I21" t="s">
        <v>24</v>
      </c>
      <c r="J21" t="s">
        <v>495</v>
      </c>
      <c r="K21">
        <v>46</v>
      </c>
      <c r="L21">
        <v>3</v>
      </c>
      <c r="M21" t="s">
        <v>562</v>
      </c>
      <c r="N21" t="s">
        <v>248</v>
      </c>
      <c r="O21">
        <v>20.9</v>
      </c>
      <c r="P21">
        <f t="shared" si="1"/>
        <v>17.529999999999998</v>
      </c>
      <c r="Q21" t="s">
        <v>563</v>
      </c>
      <c r="R21">
        <v>3</v>
      </c>
      <c r="S21">
        <v>68</v>
      </c>
      <c r="T21" t="s">
        <v>564</v>
      </c>
    </row>
    <row r="22" spans="1:20" s="3" customFormat="1" x14ac:dyDescent="0.35">
      <c r="A22" s="3">
        <v>1</v>
      </c>
      <c r="B22" s="3">
        <v>2</v>
      </c>
      <c r="C22" s="3" t="s">
        <v>538</v>
      </c>
      <c r="D22" s="3" t="s">
        <v>565</v>
      </c>
      <c r="E22" s="3" t="s">
        <v>22</v>
      </c>
      <c r="H22" s="3" t="s">
        <v>23</v>
      </c>
      <c r="I22" s="3" t="s">
        <v>77</v>
      </c>
      <c r="J22" s="3" t="s">
        <v>78</v>
      </c>
      <c r="K22" s="3" t="s">
        <v>78</v>
      </c>
      <c r="L22" s="3">
        <v>3</v>
      </c>
      <c r="M22" s="3" t="s">
        <v>79</v>
      </c>
      <c r="N22" s="3" t="s">
        <v>80</v>
      </c>
      <c r="O22" s="3">
        <v>4.5999999999999996</v>
      </c>
      <c r="P22" s="3">
        <f t="shared" si="1"/>
        <v>1.2299999999999995</v>
      </c>
      <c r="Q22" s="3" t="s">
        <v>88</v>
      </c>
      <c r="R22" s="3">
        <v>3</v>
      </c>
      <c r="S22" s="3">
        <v>119</v>
      </c>
      <c r="T22" s="3" t="s">
        <v>81</v>
      </c>
    </row>
    <row r="23" spans="1:20" x14ac:dyDescent="0.35">
      <c r="A23">
        <v>1</v>
      </c>
      <c r="B23">
        <v>2</v>
      </c>
      <c r="C23" t="s">
        <v>538</v>
      </c>
      <c r="D23" t="s">
        <v>566</v>
      </c>
      <c r="E23" t="s">
        <v>22</v>
      </c>
      <c r="F23">
        <v>10</v>
      </c>
      <c r="H23" t="s">
        <v>23</v>
      </c>
      <c r="I23" t="s">
        <v>24</v>
      </c>
      <c r="J23" t="s">
        <v>567</v>
      </c>
      <c r="K23" t="s">
        <v>67</v>
      </c>
      <c r="L23">
        <v>4</v>
      </c>
      <c r="M23">
        <v>56</v>
      </c>
      <c r="N23" t="s">
        <v>568</v>
      </c>
      <c r="O23">
        <v>33.700000000000003</v>
      </c>
      <c r="P23">
        <f t="shared" si="1"/>
        <v>30.330000000000002</v>
      </c>
      <c r="Q23" t="s">
        <v>569</v>
      </c>
      <c r="R23">
        <v>7</v>
      </c>
      <c r="S23">
        <v>78</v>
      </c>
      <c r="T23" t="s">
        <v>570</v>
      </c>
    </row>
    <row r="24" spans="1:20" x14ac:dyDescent="0.35">
      <c r="A24">
        <v>1</v>
      </c>
      <c r="B24">
        <v>2</v>
      </c>
      <c r="C24" t="s">
        <v>538</v>
      </c>
      <c r="D24" t="s">
        <v>571</v>
      </c>
      <c r="E24" t="s">
        <v>22</v>
      </c>
      <c r="F24">
        <v>3</v>
      </c>
      <c r="H24" t="s">
        <v>23</v>
      </c>
      <c r="I24" t="s">
        <v>24</v>
      </c>
      <c r="J24" t="s">
        <v>405</v>
      </c>
      <c r="K24" t="s">
        <v>572</v>
      </c>
      <c r="L24">
        <v>4</v>
      </c>
      <c r="M24" t="s">
        <v>573</v>
      </c>
      <c r="N24" t="s">
        <v>574</v>
      </c>
      <c r="O24">
        <v>14</v>
      </c>
      <c r="P24">
        <f t="shared" si="1"/>
        <v>10.629999999999999</v>
      </c>
      <c r="Q24">
        <v>5</v>
      </c>
      <c r="R24">
        <v>3</v>
      </c>
      <c r="S24">
        <v>40</v>
      </c>
      <c r="T24" t="s">
        <v>238</v>
      </c>
    </row>
    <row r="25" spans="1:20" x14ac:dyDescent="0.35">
      <c r="A25">
        <v>1</v>
      </c>
      <c r="B25">
        <v>2</v>
      </c>
      <c r="C25" t="s">
        <v>538</v>
      </c>
      <c r="D25" t="s">
        <v>575</v>
      </c>
      <c r="E25" t="s">
        <v>22</v>
      </c>
      <c r="F25">
        <v>7</v>
      </c>
      <c r="H25" t="s">
        <v>23</v>
      </c>
      <c r="I25" t="s">
        <v>24</v>
      </c>
      <c r="J25" t="s">
        <v>64</v>
      </c>
      <c r="K25" t="s">
        <v>576</v>
      </c>
      <c r="L25">
        <v>3</v>
      </c>
      <c r="M25" t="s">
        <v>577</v>
      </c>
      <c r="N25" t="s">
        <v>578</v>
      </c>
      <c r="O25">
        <v>27.2</v>
      </c>
      <c r="P25">
        <f t="shared" si="1"/>
        <v>23.83</v>
      </c>
      <c r="Q25" t="s">
        <v>579</v>
      </c>
      <c r="R25">
        <v>4</v>
      </c>
      <c r="S25">
        <v>85</v>
      </c>
      <c r="T25" t="s">
        <v>580</v>
      </c>
    </row>
    <row r="26" spans="1:20" s="3" customFormat="1" x14ac:dyDescent="0.35">
      <c r="A26" s="3">
        <v>1</v>
      </c>
      <c r="B26" s="3">
        <v>2</v>
      </c>
      <c r="C26" s="3" t="s">
        <v>538</v>
      </c>
      <c r="D26" s="3" t="s">
        <v>581</v>
      </c>
      <c r="E26" s="3" t="s">
        <v>22</v>
      </c>
      <c r="H26" s="3" t="s">
        <v>23</v>
      </c>
      <c r="I26" s="3" t="s">
        <v>77</v>
      </c>
      <c r="J26" s="3" t="s">
        <v>78</v>
      </c>
      <c r="K26" s="3" t="s">
        <v>78</v>
      </c>
      <c r="L26" s="3">
        <v>4</v>
      </c>
      <c r="M26" s="3" t="s">
        <v>79</v>
      </c>
      <c r="N26" s="3" t="s">
        <v>80</v>
      </c>
      <c r="O26" s="3">
        <v>4.4000000000000004</v>
      </c>
      <c r="P26" s="3">
        <f t="shared" si="1"/>
        <v>1.0300000000000002</v>
      </c>
      <c r="Q26" s="3" t="s">
        <v>479</v>
      </c>
      <c r="R26" s="3">
        <v>3</v>
      </c>
      <c r="S26" s="3">
        <v>95</v>
      </c>
      <c r="T26" s="3" t="s">
        <v>81</v>
      </c>
    </row>
    <row r="27" spans="1:20" x14ac:dyDescent="0.35">
      <c r="A27">
        <v>1</v>
      </c>
      <c r="B27">
        <v>2</v>
      </c>
      <c r="C27" t="s">
        <v>538</v>
      </c>
      <c r="D27" t="s">
        <v>582</v>
      </c>
      <c r="E27" t="s">
        <v>22</v>
      </c>
      <c r="F27">
        <v>6</v>
      </c>
      <c r="H27" t="s">
        <v>23</v>
      </c>
      <c r="I27" t="s">
        <v>24</v>
      </c>
      <c r="J27" t="s">
        <v>583</v>
      </c>
      <c r="K27" t="s">
        <v>584</v>
      </c>
      <c r="L27">
        <v>3</v>
      </c>
      <c r="M27" t="s">
        <v>585</v>
      </c>
      <c r="N27" t="s">
        <v>511</v>
      </c>
      <c r="O27">
        <v>28.7</v>
      </c>
      <c r="P27">
        <f t="shared" si="1"/>
        <v>25.33</v>
      </c>
      <c r="Q27" t="s">
        <v>519</v>
      </c>
      <c r="R27">
        <v>5</v>
      </c>
      <c r="S27">
        <v>83</v>
      </c>
      <c r="T27" t="s">
        <v>586</v>
      </c>
    </row>
    <row r="28" spans="1:20" x14ac:dyDescent="0.35">
      <c r="A28">
        <v>1</v>
      </c>
      <c r="B28">
        <v>2</v>
      </c>
      <c r="C28" t="s">
        <v>538</v>
      </c>
      <c r="D28" t="s">
        <v>587</v>
      </c>
      <c r="E28" t="s">
        <v>22</v>
      </c>
      <c r="F28">
        <v>8</v>
      </c>
      <c r="H28" t="s">
        <v>23</v>
      </c>
      <c r="I28" t="s">
        <v>24</v>
      </c>
      <c r="J28">
        <v>21</v>
      </c>
      <c r="K28" t="s">
        <v>588</v>
      </c>
      <c r="L28">
        <v>3</v>
      </c>
      <c r="M28" t="s">
        <v>116</v>
      </c>
      <c r="N28" t="s">
        <v>488</v>
      </c>
      <c r="O28">
        <v>16.2</v>
      </c>
      <c r="P28">
        <f t="shared" si="1"/>
        <v>12.829999999999998</v>
      </c>
      <c r="Q28" t="s">
        <v>42</v>
      </c>
      <c r="R28">
        <v>3</v>
      </c>
      <c r="S28">
        <v>40</v>
      </c>
      <c r="T28" t="s">
        <v>326</v>
      </c>
    </row>
    <row r="29" spans="1:20" x14ac:dyDescent="0.35">
      <c r="A29">
        <v>1</v>
      </c>
      <c r="B29">
        <v>2</v>
      </c>
      <c r="C29" t="s">
        <v>538</v>
      </c>
      <c r="D29" t="s">
        <v>589</v>
      </c>
      <c r="E29" t="s">
        <v>22</v>
      </c>
      <c r="F29">
        <v>4</v>
      </c>
      <c r="H29" t="s">
        <v>23</v>
      </c>
      <c r="I29" t="s">
        <v>24</v>
      </c>
      <c r="J29" t="s">
        <v>590</v>
      </c>
      <c r="K29" t="s">
        <v>591</v>
      </c>
      <c r="L29">
        <v>4</v>
      </c>
      <c r="M29" t="s">
        <v>144</v>
      </c>
      <c r="N29">
        <v>50</v>
      </c>
      <c r="O29">
        <v>20.3</v>
      </c>
      <c r="P29">
        <f t="shared" si="1"/>
        <v>16.93</v>
      </c>
      <c r="Q29" t="s">
        <v>426</v>
      </c>
      <c r="R29">
        <v>3</v>
      </c>
      <c r="S29">
        <v>48</v>
      </c>
      <c r="T29" t="s">
        <v>564</v>
      </c>
    </row>
    <row r="31" spans="1:20" x14ac:dyDescent="0.35">
      <c r="C31" t="s">
        <v>2</v>
      </c>
      <c r="D31" t="s">
        <v>3</v>
      </c>
      <c r="E31" t="s">
        <v>4</v>
      </c>
      <c r="F31" t="s">
        <v>5</v>
      </c>
      <c r="G31" t="s">
        <v>6</v>
      </c>
      <c r="H31" t="s">
        <v>7</v>
      </c>
      <c r="I31" t="s">
        <v>8</v>
      </c>
      <c r="J31" t="s">
        <v>9</v>
      </c>
      <c r="K31" t="s">
        <v>10</v>
      </c>
      <c r="L31" t="s">
        <v>11</v>
      </c>
      <c r="M31" t="s">
        <v>12</v>
      </c>
      <c r="N31" t="s">
        <v>13</v>
      </c>
      <c r="O31" t="s">
        <v>14</v>
      </c>
      <c r="Q31" t="s">
        <v>16</v>
      </c>
      <c r="R31" t="s">
        <v>17</v>
      </c>
      <c r="S31" t="s">
        <v>18</v>
      </c>
      <c r="T31" t="s">
        <v>19</v>
      </c>
    </row>
    <row r="32" spans="1:20" x14ac:dyDescent="0.35">
      <c r="A32">
        <v>2</v>
      </c>
      <c r="B32">
        <v>1</v>
      </c>
      <c r="C32" t="s">
        <v>592</v>
      </c>
      <c r="D32" t="s">
        <v>593</v>
      </c>
      <c r="E32" t="s">
        <v>22</v>
      </c>
      <c r="F32">
        <v>7</v>
      </c>
      <c r="H32" t="s">
        <v>23</v>
      </c>
      <c r="I32" t="s">
        <v>24</v>
      </c>
      <c r="J32" t="s">
        <v>62</v>
      </c>
      <c r="K32">
        <v>78</v>
      </c>
      <c r="L32">
        <v>4</v>
      </c>
      <c r="M32">
        <v>125</v>
      </c>
      <c r="N32">
        <v>43</v>
      </c>
      <c r="O32">
        <v>11.7</v>
      </c>
      <c r="P32">
        <f t="shared" ref="P32:P46" si="2">O32-$M$64</f>
        <v>8.3299999999999983</v>
      </c>
      <c r="Q32" t="s">
        <v>512</v>
      </c>
      <c r="R32">
        <v>3</v>
      </c>
      <c r="S32">
        <v>29</v>
      </c>
      <c r="T32" t="s">
        <v>109</v>
      </c>
    </row>
    <row r="33" spans="1:20" x14ac:dyDescent="0.35">
      <c r="A33">
        <v>2</v>
      </c>
      <c r="B33">
        <v>1</v>
      </c>
      <c r="C33" t="s">
        <v>592</v>
      </c>
      <c r="D33" t="s">
        <v>594</v>
      </c>
      <c r="E33" t="s">
        <v>22</v>
      </c>
      <c r="F33">
        <v>11</v>
      </c>
      <c r="H33" t="s">
        <v>23</v>
      </c>
      <c r="I33" t="s">
        <v>24</v>
      </c>
      <c r="J33" t="s">
        <v>322</v>
      </c>
      <c r="K33" t="s">
        <v>595</v>
      </c>
      <c r="L33">
        <v>2</v>
      </c>
      <c r="M33">
        <v>256</v>
      </c>
      <c r="N33" t="s">
        <v>596</v>
      </c>
      <c r="O33">
        <v>29.1</v>
      </c>
      <c r="P33">
        <f t="shared" si="2"/>
        <v>25.73</v>
      </c>
      <c r="Q33" t="s">
        <v>597</v>
      </c>
      <c r="R33">
        <v>3</v>
      </c>
      <c r="S33">
        <v>73</v>
      </c>
      <c r="T33" t="s">
        <v>586</v>
      </c>
    </row>
    <row r="34" spans="1:20" x14ac:dyDescent="0.35">
      <c r="A34">
        <v>2</v>
      </c>
      <c r="B34">
        <v>1</v>
      </c>
      <c r="C34" t="s">
        <v>592</v>
      </c>
      <c r="D34" t="s">
        <v>598</v>
      </c>
      <c r="E34" t="s">
        <v>22</v>
      </c>
      <c r="F34">
        <v>3</v>
      </c>
      <c r="H34" t="s">
        <v>23</v>
      </c>
      <c r="I34" t="s">
        <v>24</v>
      </c>
      <c r="J34" t="s">
        <v>599</v>
      </c>
      <c r="K34" t="s">
        <v>600</v>
      </c>
      <c r="L34">
        <v>3</v>
      </c>
      <c r="M34" t="s">
        <v>601</v>
      </c>
      <c r="N34">
        <v>42</v>
      </c>
      <c r="O34">
        <v>16.3</v>
      </c>
      <c r="P34">
        <f t="shared" si="2"/>
        <v>12.93</v>
      </c>
      <c r="Q34">
        <v>7</v>
      </c>
      <c r="R34">
        <v>3</v>
      </c>
      <c r="S34">
        <v>43</v>
      </c>
      <c r="T34" t="s">
        <v>326</v>
      </c>
    </row>
    <row r="35" spans="1:20" x14ac:dyDescent="0.35">
      <c r="A35">
        <v>2</v>
      </c>
      <c r="B35">
        <v>1</v>
      </c>
      <c r="C35" t="s">
        <v>592</v>
      </c>
      <c r="D35" t="s">
        <v>602</v>
      </c>
      <c r="E35" t="s">
        <v>22</v>
      </c>
      <c r="F35">
        <v>10</v>
      </c>
      <c r="H35" t="s">
        <v>23</v>
      </c>
      <c r="I35" t="s">
        <v>24</v>
      </c>
      <c r="J35">
        <v>46</v>
      </c>
      <c r="K35" t="s">
        <v>603</v>
      </c>
      <c r="L35">
        <v>2</v>
      </c>
      <c r="M35">
        <v>182</v>
      </c>
      <c r="N35" t="s">
        <v>604</v>
      </c>
      <c r="O35">
        <v>16.5</v>
      </c>
      <c r="P35">
        <f t="shared" si="2"/>
        <v>13.129999999999999</v>
      </c>
      <c r="Q35" t="s">
        <v>293</v>
      </c>
      <c r="R35">
        <v>3</v>
      </c>
      <c r="S35">
        <v>40</v>
      </c>
      <c r="T35" t="s">
        <v>528</v>
      </c>
    </row>
    <row r="36" spans="1:20" x14ac:dyDescent="0.35">
      <c r="A36">
        <v>2</v>
      </c>
      <c r="B36">
        <v>1</v>
      </c>
      <c r="C36" t="s">
        <v>592</v>
      </c>
      <c r="D36" t="s">
        <v>605</v>
      </c>
      <c r="E36" t="s">
        <v>22</v>
      </c>
      <c r="F36">
        <v>5</v>
      </c>
      <c r="H36" t="s">
        <v>23</v>
      </c>
      <c r="I36" t="s">
        <v>24</v>
      </c>
      <c r="J36" t="s">
        <v>606</v>
      </c>
      <c r="K36" t="s">
        <v>607</v>
      </c>
      <c r="L36">
        <v>4</v>
      </c>
      <c r="M36" t="s">
        <v>608</v>
      </c>
      <c r="N36" t="s">
        <v>609</v>
      </c>
      <c r="O36">
        <v>23.7</v>
      </c>
      <c r="P36">
        <f t="shared" si="2"/>
        <v>20.329999999999998</v>
      </c>
      <c r="Q36" t="s">
        <v>610</v>
      </c>
      <c r="R36">
        <v>4</v>
      </c>
      <c r="S36">
        <v>56</v>
      </c>
      <c r="T36" t="s">
        <v>520</v>
      </c>
    </row>
    <row r="37" spans="1:20" s="3" customFormat="1" x14ac:dyDescent="0.35">
      <c r="A37" s="3">
        <v>2</v>
      </c>
      <c r="B37" s="3">
        <v>1</v>
      </c>
      <c r="C37" s="3" t="s">
        <v>592</v>
      </c>
      <c r="D37" s="3" t="s">
        <v>611</v>
      </c>
      <c r="E37" s="3" t="s">
        <v>22</v>
      </c>
      <c r="H37" s="3" t="s">
        <v>23</v>
      </c>
      <c r="I37" s="3" t="s">
        <v>77</v>
      </c>
      <c r="J37" s="3" t="s">
        <v>78</v>
      </c>
      <c r="K37" s="3" t="s">
        <v>78</v>
      </c>
      <c r="L37" s="3">
        <v>2</v>
      </c>
      <c r="M37" s="3" t="s">
        <v>79</v>
      </c>
      <c r="N37" s="3" t="s">
        <v>80</v>
      </c>
      <c r="O37" s="3">
        <v>4.4000000000000004</v>
      </c>
      <c r="P37" s="3">
        <f t="shared" si="2"/>
        <v>1.0300000000000002</v>
      </c>
      <c r="Q37" s="3" t="s">
        <v>460</v>
      </c>
      <c r="R37" s="3">
        <v>3</v>
      </c>
      <c r="S37" s="3">
        <v>73</v>
      </c>
      <c r="T37" s="3" t="s">
        <v>81</v>
      </c>
    </row>
    <row r="38" spans="1:20" x14ac:dyDescent="0.35">
      <c r="A38">
        <v>2</v>
      </c>
      <c r="B38">
        <v>1</v>
      </c>
      <c r="C38" t="s">
        <v>592</v>
      </c>
      <c r="D38" t="s">
        <v>612</v>
      </c>
      <c r="E38" t="s">
        <v>22</v>
      </c>
      <c r="F38">
        <v>4</v>
      </c>
      <c r="H38" t="s">
        <v>23</v>
      </c>
      <c r="I38" t="s">
        <v>24</v>
      </c>
      <c r="J38" t="s">
        <v>107</v>
      </c>
      <c r="K38" t="s">
        <v>613</v>
      </c>
      <c r="L38">
        <v>4</v>
      </c>
      <c r="M38" t="s">
        <v>614</v>
      </c>
      <c r="N38" t="s">
        <v>338</v>
      </c>
      <c r="O38">
        <v>12.4</v>
      </c>
      <c r="P38">
        <f t="shared" si="2"/>
        <v>9.0300000000000011</v>
      </c>
      <c r="Q38" t="s">
        <v>506</v>
      </c>
      <c r="R38">
        <v>3</v>
      </c>
      <c r="S38">
        <v>34</v>
      </c>
      <c r="T38" t="s">
        <v>274</v>
      </c>
    </row>
    <row r="39" spans="1:20" x14ac:dyDescent="0.35">
      <c r="A39">
        <v>2</v>
      </c>
      <c r="B39">
        <v>1</v>
      </c>
      <c r="C39" t="s">
        <v>592</v>
      </c>
      <c r="D39" t="s">
        <v>615</v>
      </c>
      <c r="E39" t="s">
        <v>22</v>
      </c>
      <c r="F39">
        <v>6</v>
      </c>
      <c r="H39" t="s">
        <v>23</v>
      </c>
      <c r="I39" t="s">
        <v>24</v>
      </c>
      <c r="J39" t="s">
        <v>616</v>
      </c>
      <c r="K39" t="s">
        <v>617</v>
      </c>
      <c r="L39">
        <v>3</v>
      </c>
      <c r="M39" t="s">
        <v>618</v>
      </c>
      <c r="N39" t="s">
        <v>511</v>
      </c>
      <c r="O39">
        <v>20.399999999999999</v>
      </c>
      <c r="P39">
        <f t="shared" si="2"/>
        <v>17.029999999999998</v>
      </c>
      <c r="Q39" t="s">
        <v>560</v>
      </c>
      <c r="R39">
        <v>3</v>
      </c>
      <c r="S39">
        <v>45</v>
      </c>
      <c r="T39" t="s">
        <v>619</v>
      </c>
    </row>
    <row r="40" spans="1:20" x14ac:dyDescent="0.35">
      <c r="A40">
        <v>2</v>
      </c>
      <c r="B40">
        <v>1</v>
      </c>
      <c r="C40" t="s">
        <v>592</v>
      </c>
      <c r="D40" s="4" t="s">
        <v>620</v>
      </c>
      <c r="E40" t="s">
        <v>22</v>
      </c>
      <c r="F40">
        <v>9</v>
      </c>
      <c r="H40" t="s">
        <v>23</v>
      </c>
      <c r="I40" t="s">
        <v>24</v>
      </c>
      <c r="J40" t="s">
        <v>621</v>
      </c>
      <c r="K40" t="s">
        <v>622</v>
      </c>
      <c r="L40">
        <v>3</v>
      </c>
      <c r="M40" t="s">
        <v>623</v>
      </c>
      <c r="N40">
        <v>40</v>
      </c>
      <c r="O40">
        <v>18.3</v>
      </c>
      <c r="P40">
        <f t="shared" si="2"/>
        <v>14.93</v>
      </c>
      <c r="Q40" t="s">
        <v>48</v>
      </c>
      <c r="R40">
        <v>5</v>
      </c>
      <c r="S40">
        <v>40</v>
      </c>
      <c r="T40" t="s">
        <v>498</v>
      </c>
    </row>
    <row r="41" spans="1:20" x14ac:dyDescent="0.35">
      <c r="A41">
        <v>2</v>
      </c>
      <c r="B41">
        <v>1</v>
      </c>
      <c r="C41" t="s">
        <v>592</v>
      </c>
      <c r="D41" t="s">
        <v>624</v>
      </c>
      <c r="E41" t="s">
        <v>22</v>
      </c>
      <c r="F41">
        <v>2</v>
      </c>
      <c r="H41" t="s">
        <v>23</v>
      </c>
      <c r="I41" t="s">
        <v>24</v>
      </c>
      <c r="J41" t="s">
        <v>625</v>
      </c>
      <c r="K41" t="s">
        <v>626</v>
      </c>
      <c r="L41">
        <v>4</v>
      </c>
      <c r="M41" t="s">
        <v>627</v>
      </c>
      <c r="N41" t="s">
        <v>64</v>
      </c>
      <c r="O41">
        <v>19.600000000000001</v>
      </c>
      <c r="P41">
        <f t="shared" si="2"/>
        <v>16.23</v>
      </c>
      <c r="Q41" t="s">
        <v>36</v>
      </c>
      <c r="R41">
        <v>3</v>
      </c>
      <c r="S41">
        <v>68</v>
      </c>
      <c r="T41" t="s">
        <v>564</v>
      </c>
    </row>
    <row r="42" spans="1:20" x14ac:dyDescent="0.35">
      <c r="A42">
        <v>2</v>
      </c>
      <c r="B42">
        <v>1</v>
      </c>
      <c r="C42" t="s">
        <v>592</v>
      </c>
      <c r="D42" t="s">
        <v>628</v>
      </c>
      <c r="E42" t="s">
        <v>22</v>
      </c>
      <c r="F42">
        <v>8</v>
      </c>
      <c r="H42" t="s">
        <v>23</v>
      </c>
      <c r="I42" t="s">
        <v>24</v>
      </c>
      <c r="J42" t="s">
        <v>570</v>
      </c>
      <c r="K42" t="s">
        <v>629</v>
      </c>
      <c r="L42">
        <v>3</v>
      </c>
      <c r="M42" t="s">
        <v>630</v>
      </c>
      <c r="N42" t="s">
        <v>631</v>
      </c>
      <c r="O42">
        <v>16.2</v>
      </c>
      <c r="P42">
        <f t="shared" si="2"/>
        <v>12.829999999999998</v>
      </c>
      <c r="Q42" t="s">
        <v>268</v>
      </c>
      <c r="R42">
        <v>4</v>
      </c>
      <c r="S42">
        <v>40</v>
      </c>
      <c r="T42" t="s">
        <v>528</v>
      </c>
    </row>
    <row r="43" spans="1:20" x14ac:dyDescent="0.35">
      <c r="A43">
        <v>2</v>
      </c>
      <c r="B43">
        <v>1</v>
      </c>
      <c r="C43" t="s">
        <v>592</v>
      </c>
      <c r="D43" t="s">
        <v>632</v>
      </c>
      <c r="E43" t="s">
        <v>22</v>
      </c>
      <c r="F43">
        <v>12</v>
      </c>
      <c r="H43" t="s">
        <v>23</v>
      </c>
      <c r="I43" t="s">
        <v>24</v>
      </c>
      <c r="J43" t="s">
        <v>553</v>
      </c>
      <c r="K43" t="s">
        <v>633</v>
      </c>
      <c r="L43">
        <v>2</v>
      </c>
      <c r="M43" t="s">
        <v>634</v>
      </c>
      <c r="N43" t="s">
        <v>392</v>
      </c>
      <c r="O43">
        <v>11.3</v>
      </c>
      <c r="P43">
        <f t="shared" si="2"/>
        <v>7.9300000000000006</v>
      </c>
      <c r="Q43" t="s">
        <v>108</v>
      </c>
      <c r="R43">
        <v>3</v>
      </c>
      <c r="S43">
        <v>29</v>
      </c>
      <c r="T43" t="s">
        <v>109</v>
      </c>
    </row>
    <row r="44" spans="1:20" s="3" customFormat="1" x14ac:dyDescent="0.35">
      <c r="A44" s="3">
        <v>2</v>
      </c>
      <c r="B44" s="3">
        <v>1</v>
      </c>
      <c r="C44" s="3" t="s">
        <v>592</v>
      </c>
      <c r="D44" s="3" t="s">
        <v>635</v>
      </c>
      <c r="E44" s="3" t="s">
        <v>22</v>
      </c>
      <c r="H44" s="3" t="s">
        <v>23</v>
      </c>
      <c r="I44" s="3" t="s">
        <v>77</v>
      </c>
      <c r="J44" s="3" t="s">
        <v>78</v>
      </c>
      <c r="K44" s="3" t="s">
        <v>78</v>
      </c>
      <c r="L44" s="3">
        <v>3</v>
      </c>
      <c r="M44" s="3" t="s">
        <v>79</v>
      </c>
      <c r="N44" s="3" t="s">
        <v>80</v>
      </c>
      <c r="O44" s="3">
        <v>4.4000000000000004</v>
      </c>
      <c r="P44" s="3">
        <f t="shared" si="2"/>
        <v>1.0300000000000002</v>
      </c>
      <c r="Q44" s="3" t="s">
        <v>259</v>
      </c>
      <c r="R44" s="3">
        <v>3</v>
      </c>
      <c r="S44" s="3">
        <v>53</v>
      </c>
      <c r="T44" s="3" t="s">
        <v>81</v>
      </c>
    </row>
    <row r="45" spans="1:20" x14ac:dyDescent="0.35">
      <c r="A45">
        <v>2</v>
      </c>
      <c r="B45">
        <v>1</v>
      </c>
      <c r="C45" t="s">
        <v>592</v>
      </c>
      <c r="D45" t="s">
        <v>636</v>
      </c>
      <c r="E45" t="s">
        <v>22</v>
      </c>
      <c r="F45">
        <v>1</v>
      </c>
      <c r="H45" t="s">
        <v>23</v>
      </c>
      <c r="I45" t="s">
        <v>24</v>
      </c>
      <c r="J45">
        <v>164</v>
      </c>
      <c r="K45">
        <v>7</v>
      </c>
      <c r="L45">
        <v>4</v>
      </c>
      <c r="M45" t="s">
        <v>637</v>
      </c>
      <c r="N45" t="s">
        <v>638</v>
      </c>
      <c r="O45">
        <v>19.3</v>
      </c>
      <c r="P45">
        <f t="shared" si="2"/>
        <v>15.93</v>
      </c>
      <c r="Q45" t="s">
        <v>639</v>
      </c>
      <c r="R45">
        <v>5</v>
      </c>
      <c r="S45">
        <v>48</v>
      </c>
      <c r="T45" t="s">
        <v>564</v>
      </c>
    </row>
    <row r="46" spans="1:20" s="3" customFormat="1" x14ac:dyDescent="0.35">
      <c r="A46" s="3">
        <v>2</v>
      </c>
      <c r="B46" s="3">
        <v>1</v>
      </c>
      <c r="C46" s="3" t="s">
        <v>592</v>
      </c>
      <c r="D46" s="3" t="s">
        <v>640</v>
      </c>
      <c r="E46" s="3" t="s">
        <v>22</v>
      </c>
      <c r="H46" s="3" t="s">
        <v>23</v>
      </c>
      <c r="I46" s="3" t="s">
        <v>77</v>
      </c>
      <c r="J46" s="3" t="s">
        <v>78</v>
      </c>
      <c r="K46" s="3" t="s">
        <v>78</v>
      </c>
      <c r="L46" s="3">
        <v>4</v>
      </c>
      <c r="M46" s="3" t="s">
        <v>79</v>
      </c>
      <c r="N46" s="3" t="s">
        <v>80</v>
      </c>
      <c r="O46" s="3">
        <v>4.0999999999999996</v>
      </c>
      <c r="P46" s="3">
        <f t="shared" si="2"/>
        <v>0.72999999999999954</v>
      </c>
      <c r="Q46" s="3" t="s">
        <v>439</v>
      </c>
      <c r="R46" s="3">
        <v>3</v>
      </c>
      <c r="S46" s="3">
        <v>73</v>
      </c>
      <c r="T46" s="3" t="s">
        <v>81</v>
      </c>
    </row>
    <row r="48" spans="1:20" x14ac:dyDescent="0.35">
      <c r="C48" t="s">
        <v>2</v>
      </c>
      <c r="D48" t="s">
        <v>3</v>
      </c>
      <c r="E48" t="s">
        <v>4</v>
      </c>
      <c r="F48" t="s">
        <v>5</v>
      </c>
      <c r="G48" t="s">
        <v>6</v>
      </c>
      <c r="H48" t="s">
        <v>7</v>
      </c>
      <c r="I48" t="s">
        <v>8</v>
      </c>
      <c r="J48" t="s">
        <v>9</v>
      </c>
      <c r="K48" t="s">
        <v>10</v>
      </c>
      <c r="L48" t="s">
        <v>11</v>
      </c>
      <c r="M48" t="s">
        <v>12</v>
      </c>
      <c r="N48" t="s">
        <v>13</v>
      </c>
      <c r="O48" t="s">
        <v>14</v>
      </c>
      <c r="Q48" t="s">
        <v>16</v>
      </c>
      <c r="R48" t="s">
        <v>17</v>
      </c>
      <c r="S48" t="s">
        <v>18</v>
      </c>
      <c r="T48" t="s">
        <v>19</v>
      </c>
    </row>
    <row r="49" spans="1:20" x14ac:dyDescent="0.35">
      <c r="A49">
        <v>2</v>
      </c>
      <c r="B49">
        <v>2</v>
      </c>
      <c r="C49" t="s">
        <v>641</v>
      </c>
      <c r="D49" t="s">
        <v>642</v>
      </c>
      <c r="E49" t="s">
        <v>22</v>
      </c>
      <c r="F49">
        <v>3</v>
      </c>
      <c r="H49" t="s">
        <v>23</v>
      </c>
      <c r="I49" t="s">
        <v>24</v>
      </c>
      <c r="J49" t="s">
        <v>309</v>
      </c>
      <c r="K49" t="s">
        <v>643</v>
      </c>
      <c r="L49">
        <v>4</v>
      </c>
      <c r="M49" t="s">
        <v>93</v>
      </c>
      <c r="N49" t="s">
        <v>644</v>
      </c>
      <c r="O49">
        <v>22.2</v>
      </c>
      <c r="P49">
        <f t="shared" ref="P49:P61" si="3">O49-$M$64</f>
        <v>18.829999999999998</v>
      </c>
      <c r="Q49" t="s">
        <v>645</v>
      </c>
      <c r="R49">
        <v>4</v>
      </c>
      <c r="S49">
        <v>196</v>
      </c>
      <c r="T49" t="s">
        <v>528</v>
      </c>
    </row>
    <row r="50" spans="1:20" x14ac:dyDescent="0.35">
      <c r="A50">
        <v>2</v>
      </c>
      <c r="B50">
        <v>2</v>
      </c>
      <c r="C50" t="s">
        <v>641</v>
      </c>
      <c r="D50" t="s">
        <v>646</v>
      </c>
      <c r="E50" t="s">
        <v>22</v>
      </c>
      <c r="F50">
        <v>8</v>
      </c>
      <c r="H50" t="s">
        <v>23</v>
      </c>
      <c r="I50" t="s">
        <v>24</v>
      </c>
      <c r="J50" t="s">
        <v>647</v>
      </c>
      <c r="K50" t="s">
        <v>648</v>
      </c>
      <c r="L50">
        <v>1</v>
      </c>
      <c r="M50" t="s">
        <v>649</v>
      </c>
      <c r="N50" t="s">
        <v>359</v>
      </c>
      <c r="O50">
        <v>19</v>
      </c>
      <c r="P50">
        <f t="shared" si="3"/>
        <v>15.629999999999999</v>
      </c>
      <c r="Q50" t="s">
        <v>650</v>
      </c>
      <c r="R50">
        <v>3</v>
      </c>
      <c r="S50">
        <v>64</v>
      </c>
      <c r="T50" t="s">
        <v>498</v>
      </c>
    </row>
    <row r="51" spans="1:20" x14ac:dyDescent="0.35">
      <c r="A51">
        <v>2</v>
      </c>
      <c r="B51">
        <v>2</v>
      </c>
      <c r="C51" t="s">
        <v>641</v>
      </c>
      <c r="D51" t="s">
        <v>651</v>
      </c>
      <c r="E51" t="s">
        <v>22</v>
      </c>
      <c r="F51">
        <v>9</v>
      </c>
      <c r="H51" t="s">
        <v>23</v>
      </c>
      <c r="I51" t="s">
        <v>24</v>
      </c>
      <c r="J51" t="s">
        <v>652</v>
      </c>
      <c r="K51" t="s">
        <v>653</v>
      </c>
      <c r="L51">
        <v>1</v>
      </c>
      <c r="M51" t="s">
        <v>654</v>
      </c>
      <c r="N51" t="s">
        <v>568</v>
      </c>
      <c r="O51">
        <v>17.3</v>
      </c>
      <c r="P51">
        <f t="shared" si="3"/>
        <v>13.93</v>
      </c>
      <c r="Q51">
        <v>6</v>
      </c>
      <c r="R51">
        <v>0</v>
      </c>
      <c r="S51">
        <v>40</v>
      </c>
      <c r="T51" t="s">
        <v>49</v>
      </c>
    </row>
    <row r="52" spans="1:20" x14ac:dyDescent="0.35">
      <c r="A52">
        <v>2</v>
      </c>
      <c r="B52">
        <v>2</v>
      </c>
      <c r="C52" t="s">
        <v>641</v>
      </c>
      <c r="D52" t="s">
        <v>655</v>
      </c>
      <c r="E52" t="s">
        <v>22</v>
      </c>
      <c r="F52">
        <v>5</v>
      </c>
      <c r="H52" t="s">
        <v>23</v>
      </c>
      <c r="I52" t="s">
        <v>24</v>
      </c>
      <c r="J52" t="s">
        <v>656</v>
      </c>
      <c r="K52" t="s">
        <v>657</v>
      </c>
      <c r="L52">
        <v>3</v>
      </c>
      <c r="M52" t="s">
        <v>658</v>
      </c>
      <c r="N52" t="s">
        <v>107</v>
      </c>
      <c r="O52">
        <v>24.3</v>
      </c>
      <c r="P52">
        <f t="shared" si="3"/>
        <v>20.93</v>
      </c>
      <c r="Q52" t="s">
        <v>659</v>
      </c>
      <c r="R52">
        <v>5</v>
      </c>
      <c r="S52">
        <v>66</v>
      </c>
      <c r="T52" t="s">
        <v>520</v>
      </c>
    </row>
    <row r="53" spans="1:20" s="3" customFormat="1" x14ac:dyDescent="0.35">
      <c r="A53" s="3">
        <v>2</v>
      </c>
      <c r="B53">
        <v>2</v>
      </c>
      <c r="C53" s="3" t="s">
        <v>641</v>
      </c>
      <c r="D53" s="3" t="s">
        <v>660</v>
      </c>
      <c r="E53" s="3" t="s">
        <v>22</v>
      </c>
      <c r="H53" s="3" t="s">
        <v>23</v>
      </c>
      <c r="I53" s="3" t="s">
        <v>77</v>
      </c>
      <c r="J53" s="3" t="s">
        <v>78</v>
      </c>
      <c r="K53" s="3" t="s">
        <v>78</v>
      </c>
      <c r="L53" s="3">
        <v>3</v>
      </c>
      <c r="M53" s="3" t="s">
        <v>79</v>
      </c>
      <c r="N53" s="3" t="s">
        <v>80</v>
      </c>
      <c r="O53" s="3">
        <v>4.2</v>
      </c>
      <c r="P53" s="3">
        <f t="shared" si="3"/>
        <v>0.83000000000000007</v>
      </c>
      <c r="Q53" s="3" t="s">
        <v>259</v>
      </c>
      <c r="R53" s="3">
        <v>3</v>
      </c>
      <c r="S53" s="3">
        <v>106</v>
      </c>
      <c r="T53" s="3" t="s">
        <v>81</v>
      </c>
    </row>
    <row r="54" spans="1:20" x14ac:dyDescent="0.35">
      <c r="A54">
        <v>2</v>
      </c>
      <c r="B54">
        <v>2</v>
      </c>
      <c r="C54" t="s">
        <v>641</v>
      </c>
      <c r="D54" t="s">
        <v>661</v>
      </c>
      <c r="E54" t="s">
        <v>22</v>
      </c>
      <c r="F54">
        <v>8</v>
      </c>
      <c r="H54" t="s">
        <v>23</v>
      </c>
      <c r="I54" t="s">
        <v>24</v>
      </c>
      <c r="J54" t="s">
        <v>662</v>
      </c>
      <c r="K54" t="s">
        <v>163</v>
      </c>
      <c r="L54">
        <v>3</v>
      </c>
      <c r="M54" t="s">
        <v>663</v>
      </c>
      <c r="N54" t="s">
        <v>283</v>
      </c>
      <c r="O54">
        <v>15.4</v>
      </c>
      <c r="P54">
        <f t="shared" si="3"/>
        <v>12.030000000000001</v>
      </c>
      <c r="Q54" t="s">
        <v>249</v>
      </c>
      <c r="R54">
        <v>3</v>
      </c>
      <c r="S54">
        <v>49</v>
      </c>
      <c r="T54" t="s">
        <v>253</v>
      </c>
    </row>
    <row r="55" spans="1:20" s="3" customFormat="1" x14ac:dyDescent="0.35">
      <c r="A55" s="3">
        <v>2</v>
      </c>
      <c r="B55">
        <v>2</v>
      </c>
      <c r="C55" s="3" t="s">
        <v>641</v>
      </c>
      <c r="D55" s="3" t="s">
        <v>664</v>
      </c>
      <c r="E55" s="3" t="s">
        <v>22</v>
      </c>
      <c r="H55" s="3" t="s">
        <v>23</v>
      </c>
      <c r="I55" s="3" t="s">
        <v>77</v>
      </c>
      <c r="J55" s="3" t="s">
        <v>78</v>
      </c>
      <c r="K55" s="3" t="s">
        <v>78</v>
      </c>
      <c r="L55" s="3">
        <v>4</v>
      </c>
      <c r="M55" s="3" t="s">
        <v>79</v>
      </c>
      <c r="N55" s="3" t="s">
        <v>80</v>
      </c>
      <c r="O55" s="3">
        <v>4</v>
      </c>
      <c r="P55" s="3">
        <f t="shared" si="3"/>
        <v>0.62999999999999989</v>
      </c>
      <c r="Q55" s="3" t="s">
        <v>220</v>
      </c>
      <c r="R55" s="3">
        <v>3</v>
      </c>
      <c r="S55" s="3">
        <v>205</v>
      </c>
      <c r="T55" s="3" t="s">
        <v>81</v>
      </c>
    </row>
    <row r="56" spans="1:20" x14ac:dyDescent="0.35">
      <c r="A56">
        <v>2</v>
      </c>
      <c r="B56">
        <v>2</v>
      </c>
      <c r="C56" t="s">
        <v>641</v>
      </c>
      <c r="D56" t="s">
        <v>665</v>
      </c>
      <c r="E56" t="s">
        <v>22</v>
      </c>
      <c r="F56">
        <v>1</v>
      </c>
      <c r="H56" t="s">
        <v>23</v>
      </c>
      <c r="I56" t="s">
        <v>24</v>
      </c>
      <c r="J56" t="s">
        <v>666</v>
      </c>
      <c r="K56" t="s">
        <v>189</v>
      </c>
      <c r="L56">
        <v>3</v>
      </c>
      <c r="M56" t="s">
        <v>667</v>
      </c>
      <c r="N56" t="s">
        <v>668</v>
      </c>
      <c r="O56">
        <v>9.1999999999999993</v>
      </c>
      <c r="P56">
        <f t="shared" si="3"/>
        <v>5.8299999999999992</v>
      </c>
      <c r="Q56" t="s">
        <v>81</v>
      </c>
      <c r="R56">
        <v>3</v>
      </c>
      <c r="S56">
        <v>23</v>
      </c>
      <c r="T56" t="s">
        <v>189</v>
      </c>
    </row>
    <row r="57" spans="1:20" x14ac:dyDescent="0.35">
      <c r="A57">
        <v>2</v>
      </c>
      <c r="B57">
        <v>2</v>
      </c>
      <c r="C57" t="s">
        <v>641</v>
      </c>
      <c r="D57" t="s">
        <v>669</v>
      </c>
      <c r="E57" t="s">
        <v>22</v>
      </c>
      <c r="F57">
        <v>7</v>
      </c>
      <c r="H57" t="s">
        <v>23</v>
      </c>
      <c r="I57" t="s">
        <v>24</v>
      </c>
      <c r="J57" t="s">
        <v>166</v>
      </c>
      <c r="K57" t="s">
        <v>670</v>
      </c>
      <c r="L57">
        <v>3</v>
      </c>
      <c r="M57" t="s">
        <v>671</v>
      </c>
      <c r="N57" t="s">
        <v>672</v>
      </c>
      <c r="O57">
        <v>23.8</v>
      </c>
      <c r="P57">
        <f t="shared" si="3"/>
        <v>20.43</v>
      </c>
      <c r="Q57" t="s">
        <v>554</v>
      </c>
      <c r="R57">
        <v>4</v>
      </c>
      <c r="S57">
        <v>65</v>
      </c>
      <c r="T57" t="s">
        <v>520</v>
      </c>
    </row>
    <row r="58" spans="1:20" s="3" customFormat="1" x14ac:dyDescent="0.35">
      <c r="A58" s="3">
        <v>2</v>
      </c>
      <c r="B58">
        <v>2</v>
      </c>
      <c r="C58" s="3" t="s">
        <v>641</v>
      </c>
      <c r="D58" s="3" t="s">
        <v>673</v>
      </c>
      <c r="E58" s="3" t="s">
        <v>22</v>
      </c>
      <c r="H58" s="3" t="s">
        <v>23</v>
      </c>
      <c r="I58" s="3" t="s">
        <v>77</v>
      </c>
      <c r="J58" s="3" t="s">
        <v>78</v>
      </c>
      <c r="K58" s="3" t="s">
        <v>78</v>
      </c>
      <c r="L58" s="3">
        <v>1</v>
      </c>
      <c r="M58" s="3" t="s">
        <v>79</v>
      </c>
      <c r="N58" s="3" t="s">
        <v>80</v>
      </c>
      <c r="O58" s="3">
        <v>4</v>
      </c>
      <c r="P58" s="3">
        <f t="shared" si="3"/>
        <v>0.62999999999999989</v>
      </c>
      <c r="Q58" s="3" t="s">
        <v>197</v>
      </c>
      <c r="R58" s="3">
        <v>3</v>
      </c>
      <c r="S58" s="3">
        <v>69</v>
      </c>
      <c r="T58" s="3" t="s">
        <v>81</v>
      </c>
    </row>
    <row r="59" spans="1:20" x14ac:dyDescent="0.35">
      <c r="A59">
        <v>2</v>
      </c>
      <c r="B59">
        <v>2</v>
      </c>
      <c r="C59" t="s">
        <v>641</v>
      </c>
      <c r="D59" t="s">
        <v>674</v>
      </c>
      <c r="E59" t="s">
        <v>22</v>
      </c>
      <c r="F59">
        <v>2</v>
      </c>
      <c r="H59" t="s">
        <v>23</v>
      </c>
      <c r="I59" t="s">
        <v>24</v>
      </c>
      <c r="J59" t="s">
        <v>675</v>
      </c>
      <c r="K59" t="s">
        <v>676</v>
      </c>
      <c r="L59">
        <v>4</v>
      </c>
      <c r="M59" t="s">
        <v>357</v>
      </c>
      <c r="N59" t="s">
        <v>235</v>
      </c>
      <c r="O59">
        <v>15.7</v>
      </c>
      <c r="P59">
        <f t="shared" si="3"/>
        <v>12.329999999999998</v>
      </c>
      <c r="Q59">
        <v>6</v>
      </c>
      <c r="R59">
        <v>3</v>
      </c>
      <c r="S59">
        <v>45</v>
      </c>
      <c r="T59" t="s">
        <v>326</v>
      </c>
    </row>
    <row r="60" spans="1:20" x14ac:dyDescent="0.35">
      <c r="A60">
        <v>2</v>
      </c>
      <c r="B60">
        <v>2</v>
      </c>
      <c r="C60" t="s">
        <v>641</v>
      </c>
      <c r="D60" t="s">
        <v>677</v>
      </c>
      <c r="E60" t="s">
        <v>22</v>
      </c>
      <c r="F60">
        <v>4</v>
      </c>
      <c r="H60" t="s">
        <v>23</v>
      </c>
      <c r="I60" t="s">
        <v>24</v>
      </c>
      <c r="J60" t="s">
        <v>678</v>
      </c>
      <c r="K60" t="s">
        <v>40</v>
      </c>
      <c r="L60">
        <v>3</v>
      </c>
      <c r="M60" t="s">
        <v>315</v>
      </c>
      <c r="N60" t="s">
        <v>488</v>
      </c>
      <c r="O60">
        <v>22.3</v>
      </c>
      <c r="P60">
        <f t="shared" si="3"/>
        <v>18.93</v>
      </c>
      <c r="Q60" t="s">
        <v>679</v>
      </c>
      <c r="R60">
        <v>3</v>
      </c>
      <c r="S60">
        <v>53</v>
      </c>
      <c r="T60" t="s">
        <v>531</v>
      </c>
    </row>
    <row r="61" spans="1:20" x14ac:dyDescent="0.35">
      <c r="A61">
        <v>2</v>
      </c>
      <c r="B61">
        <v>2</v>
      </c>
      <c r="C61" t="s">
        <v>641</v>
      </c>
      <c r="D61" t="s">
        <v>680</v>
      </c>
      <c r="E61" t="s">
        <v>22</v>
      </c>
      <c r="F61">
        <v>6</v>
      </c>
      <c r="H61" t="s">
        <v>23</v>
      </c>
      <c r="I61" t="s">
        <v>24</v>
      </c>
      <c r="J61" t="s">
        <v>681</v>
      </c>
      <c r="K61" t="s">
        <v>682</v>
      </c>
      <c r="L61">
        <v>3</v>
      </c>
      <c r="M61" t="s">
        <v>106</v>
      </c>
      <c r="N61" t="s">
        <v>683</v>
      </c>
      <c r="O61">
        <v>9.4</v>
      </c>
      <c r="P61">
        <f t="shared" si="3"/>
        <v>6.03</v>
      </c>
      <c r="Q61" t="s">
        <v>479</v>
      </c>
      <c r="R61">
        <v>3</v>
      </c>
      <c r="S61">
        <v>27</v>
      </c>
      <c r="T61" t="s">
        <v>189</v>
      </c>
    </row>
    <row r="64" spans="1:20" x14ac:dyDescent="0.35">
      <c r="K64" t="s">
        <v>684</v>
      </c>
      <c r="M64">
        <v>3.37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86"/>
  <sheetViews>
    <sheetView zoomScaleNormal="100" workbookViewId="0">
      <selection activeCell="B79" sqref="B79"/>
    </sheetView>
  </sheetViews>
  <sheetFormatPr defaultColWidth="8.6328125"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s="2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1</v>
      </c>
      <c r="B2">
        <v>1</v>
      </c>
      <c r="C2" t="s">
        <v>685</v>
      </c>
      <c r="D2" t="s">
        <v>686</v>
      </c>
      <c r="E2" t="s">
        <v>22</v>
      </c>
      <c r="F2">
        <v>1</v>
      </c>
      <c r="H2" t="s">
        <v>23</v>
      </c>
      <c r="I2" t="s">
        <v>24</v>
      </c>
      <c r="J2" t="s">
        <v>687</v>
      </c>
      <c r="K2" t="s">
        <v>688</v>
      </c>
      <c r="L2">
        <v>3</v>
      </c>
      <c r="M2" t="s">
        <v>689</v>
      </c>
      <c r="N2" t="s">
        <v>445</v>
      </c>
      <c r="O2">
        <v>13.6</v>
      </c>
      <c r="P2">
        <f t="shared" ref="P2:P23" si="0">O2-$O$86</f>
        <v>10.23</v>
      </c>
      <c r="Q2" t="s">
        <v>268</v>
      </c>
      <c r="R2">
        <v>3</v>
      </c>
      <c r="S2">
        <v>42</v>
      </c>
      <c r="T2" t="s">
        <v>238</v>
      </c>
    </row>
    <row r="3" spans="1:20" x14ac:dyDescent="0.35">
      <c r="A3">
        <v>1</v>
      </c>
      <c r="B3">
        <v>1</v>
      </c>
      <c r="C3" t="s">
        <v>685</v>
      </c>
      <c r="D3" t="s">
        <v>690</v>
      </c>
      <c r="E3" t="s">
        <v>22</v>
      </c>
      <c r="F3">
        <v>11</v>
      </c>
      <c r="H3" t="s">
        <v>23</v>
      </c>
      <c r="I3" t="s">
        <v>24</v>
      </c>
      <c r="J3" t="s">
        <v>691</v>
      </c>
      <c r="K3" t="s">
        <v>124</v>
      </c>
      <c r="L3">
        <v>3</v>
      </c>
      <c r="M3">
        <v>152</v>
      </c>
      <c r="N3" t="s">
        <v>86</v>
      </c>
      <c r="O3">
        <v>32.1</v>
      </c>
      <c r="P3">
        <f t="shared" si="0"/>
        <v>28.73</v>
      </c>
      <c r="Q3">
        <v>12</v>
      </c>
      <c r="R3">
        <v>5</v>
      </c>
      <c r="S3">
        <v>65</v>
      </c>
      <c r="T3" t="s">
        <v>692</v>
      </c>
    </row>
    <row r="4" spans="1:20" x14ac:dyDescent="0.35">
      <c r="A4">
        <v>1</v>
      </c>
      <c r="B4">
        <v>1</v>
      </c>
      <c r="C4" t="s">
        <v>685</v>
      </c>
      <c r="D4" t="s">
        <v>693</v>
      </c>
      <c r="E4" t="s">
        <v>22</v>
      </c>
      <c r="F4">
        <v>4</v>
      </c>
      <c r="H4" t="s">
        <v>23</v>
      </c>
      <c r="I4" t="s">
        <v>24</v>
      </c>
      <c r="J4" t="s">
        <v>694</v>
      </c>
      <c r="K4">
        <v>43</v>
      </c>
      <c r="L4">
        <v>3</v>
      </c>
      <c r="M4" t="s">
        <v>695</v>
      </c>
      <c r="N4" t="s">
        <v>696</v>
      </c>
      <c r="O4">
        <v>36.700000000000003</v>
      </c>
      <c r="P4">
        <f t="shared" si="0"/>
        <v>33.330000000000005</v>
      </c>
      <c r="Q4">
        <v>17</v>
      </c>
      <c r="R4">
        <v>5</v>
      </c>
      <c r="S4">
        <v>91</v>
      </c>
      <c r="T4" t="s">
        <v>697</v>
      </c>
    </row>
    <row r="5" spans="1:20" x14ac:dyDescent="0.35">
      <c r="A5">
        <v>1</v>
      </c>
      <c r="B5">
        <v>1</v>
      </c>
      <c r="C5" t="s">
        <v>685</v>
      </c>
      <c r="D5" t="s">
        <v>698</v>
      </c>
      <c r="E5" t="s">
        <v>22</v>
      </c>
      <c r="F5">
        <v>2</v>
      </c>
      <c r="H5" t="s">
        <v>23</v>
      </c>
      <c r="I5" t="s">
        <v>24</v>
      </c>
      <c r="J5" t="s">
        <v>699</v>
      </c>
      <c r="K5" t="s">
        <v>564</v>
      </c>
      <c r="L5">
        <v>2</v>
      </c>
      <c r="M5" t="s">
        <v>700</v>
      </c>
      <c r="N5" t="s">
        <v>701</v>
      </c>
      <c r="O5">
        <v>23</v>
      </c>
      <c r="P5">
        <f t="shared" si="0"/>
        <v>19.63</v>
      </c>
      <c r="Q5" t="s">
        <v>702</v>
      </c>
      <c r="R5">
        <v>3</v>
      </c>
      <c r="S5">
        <v>53</v>
      </c>
      <c r="T5" t="s">
        <v>520</v>
      </c>
    </row>
    <row r="6" spans="1:20" x14ac:dyDescent="0.35">
      <c r="A6">
        <v>1</v>
      </c>
      <c r="B6">
        <v>1</v>
      </c>
      <c r="C6" t="s">
        <v>685</v>
      </c>
      <c r="D6" t="s">
        <v>703</v>
      </c>
      <c r="E6" t="s">
        <v>22</v>
      </c>
      <c r="F6">
        <v>6</v>
      </c>
      <c r="H6" t="s">
        <v>23</v>
      </c>
      <c r="I6" t="s">
        <v>24</v>
      </c>
      <c r="J6" t="s">
        <v>704</v>
      </c>
      <c r="K6" t="s">
        <v>454</v>
      </c>
      <c r="L6">
        <v>2</v>
      </c>
      <c r="M6" t="s">
        <v>705</v>
      </c>
      <c r="N6" t="s">
        <v>68</v>
      </c>
      <c r="O6">
        <v>18.899999999999999</v>
      </c>
      <c r="P6">
        <f t="shared" si="0"/>
        <v>15.529999999999998</v>
      </c>
      <c r="Q6" t="s">
        <v>706</v>
      </c>
      <c r="R6">
        <v>3</v>
      </c>
      <c r="S6">
        <v>55</v>
      </c>
      <c r="T6" t="s">
        <v>49</v>
      </c>
    </row>
    <row r="7" spans="1:20" x14ac:dyDescent="0.35">
      <c r="A7">
        <v>1</v>
      </c>
      <c r="B7">
        <v>1</v>
      </c>
      <c r="C7" t="s">
        <v>685</v>
      </c>
      <c r="D7" t="s">
        <v>707</v>
      </c>
      <c r="E7" t="s">
        <v>22</v>
      </c>
      <c r="F7">
        <v>10</v>
      </c>
      <c r="H7" t="s">
        <v>23</v>
      </c>
      <c r="I7" t="s">
        <v>24</v>
      </c>
      <c r="J7" t="s">
        <v>459</v>
      </c>
      <c r="K7" t="s">
        <v>618</v>
      </c>
      <c r="L7">
        <v>2</v>
      </c>
      <c r="M7" t="s">
        <v>708</v>
      </c>
      <c r="N7" t="s">
        <v>709</v>
      </c>
      <c r="O7">
        <v>25.8</v>
      </c>
      <c r="P7">
        <f t="shared" si="0"/>
        <v>22.43</v>
      </c>
      <c r="Q7">
        <v>9</v>
      </c>
      <c r="R7">
        <v>5</v>
      </c>
      <c r="S7">
        <v>63</v>
      </c>
      <c r="T7" t="s">
        <v>580</v>
      </c>
    </row>
    <row r="8" spans="1:20" x14ac:dyDescent="0.35">
      <c r="A8">
        <v>1</v>
      </c>
      <c r="B8">
        <v>1</v>
      </c>
      <c r="C8" t="s">
        <v>685</v>
      </c>
      <c r="D8" t="s">
        <v>710</v>
      </c>
      <c r="E8" t="s">
        <v>22</v>
      </c>
      <c r="F8">
        <v>9</v>
      </c>
      <c r="H8" t="s">
        <v>23</v>
      </c>
      <c r="I8" t="s">
        <v>24</v>
      </c>
      <c r="J8" t="s">
        <v>711</v>
      </c>
      <c r="K8" t="s">
        <v>712</v>
      </c>
      <c r="L8">
        <v>3</v>
      </c>
      <c r="M8" t="s">
        <v>713</v>
      </c>
      <c r="N8" t="s">
        <v>145</v>
      </c>
      <c r="O8">
        <v>30.4</v>
      </c>
      <c r="P8">
        <f t="shared" si="0"/>
        <v>27.029999999999998</v>
      </c>
      <c r="Q8" t="s">
        <v>597</v>
      </c>
      <c r="R8">
        <v>4</v>
      </c>
      <c r="S8">
        <v>73</v>
      </c>
      <c r="T8" t="s">
        <v>570</v>
      </c>
    </row>
    <row r="9" spans="1:20" x14ac:dyDescent="0.35">
      <c r="A9">
        <v>1</v>
      </c>
      <c r="B9">
        <v>1</v>
      </c>
      <c r="C9" t="s">
        <v>685</v>
      </c>
      <c r="D9" t="s">
        <v>714</v>
      </c>
      <c r="E9" t="s">
        <v>22</v>
      </c>
      <c r="F9">
        <v>5</v>
      </c>
      <c r="H9" t="s">
        <v>23</v>
      </c>
      <c r="I9" t="s">
        <v>24</v>
      </c>
      <c r="J9" t="s">
        <v>705</v>
      </c>
      <c r="K9" t="s">
        <v>715</v>
      </c>
      <c r="L9">
        <v>5</v>
      </c>
      <c r="M9" t="s">
        <v>292</v>
      </c>
      <c r="N9" t="s">
        <v>716</v>
      </c>
      <c r="O9">
        <v>13.1</v>
      </c>
      <c r="P9">
        <f t="shared" si="0"/>
        <v>9.73</v>
      </c>
      <c r="Q9" t="s">
        <v>88</v>
      </c>
      <c r="R9">
        <v>3</v>
      </c>
      <c r="S9">
        <v>33</v>
      </c>
      <c r="T9" t="s">
        <v>238</v>
      </c>
    </row>
    <row r="10" spans="1:20" x14ac:dyDescent="0.35">
      <c r="A10">
        <v>1</v>
      </c>
      <c r="B10">
        <v>1</v>
      </c>
      <c r="C10" t="s">
        <v>685</v>
      </c>
      <c r="D10" t="s">
        <v>717</v>
      </c>
      <c r="E10" t="s">
        <v>22</v>
      </c>
      <c r="F10">
        <v>3</v>
      </c>
      <c r="H10" t="s">
        <v>23</v>
      </c>
      <c r="I10" t="s">
        <v>24</v>
      </c>
      <c r="J10" t="s">
        <v>718</v>
      </c>
      <c r="K10">
        <v>36</v>
      </c>
      <c r="L10">
        <v>3</v>
      </c>
      <c r="M10" t="s">
        <v>719</v>
      </c>
      <c r="N10" t="s">
        <v>720</v>
      </c>
      <c r="O10">
        <v>15</v>
      </c>
      <c r="P10">
        <f t="shared" si="0"/>
        <v>11.629999999999999</v>
      </c>
      <c r="Q10" t="s">
        <v>721</v>
      </c>
      <c r="R10">
        <v>3</v>
      </c>
      <c r="S10">
        <v>47</v>
      </c>
      <c r="T10" t="s">
        <v>253</v>
      </c>
    </row>
    <row r="11" spans="1:20" x14ac:dyDescent="0.35">
      <c r="A11">
        <v>1</v>
      </c>
      <c r="B11">
        <v>1</v>
      </c>
      <c r="C11" t="s">
        <v>685</v>
      </c>
      <c r="D11" t="s">
        <v>722</v>
      </c>
      <c r="E11" t="s">
        <v>22</v>
      </c>
      <c r="F11">
        <v>7</v>
      </c>
      <c r="H11" t="s">
        <v>23</v>
      </c>
      <c r="I11" t="s">
        <v>24</v>
      </c>
      <c r="J11" t="s">
        <v>723</v>
      </c>
      <c r="K11" t="s">
        <v>724</v>
      </c>
      <c r="L11">
        <v>4</v>
      </c>
      <c r="M11" t="s">
        <v>617</v>
      </c>
      <c r="N11" t="s">
        <v>280</v>
      </c>
      <c r="O11">
        <v>15.6</v>
      </c>
      <c r="P11">
        <f t="shared" si="0"/>
        <v>12.23</v>
      </c>
      <c r="Q11" t="s">
        <v>639</v>
      </c>
      <c r="R11">
        <v>4</v>
      </c>
      <c r="S11">
        <v>51</v>
      </c>
      <c r="T11" t="s">
        <v>253</v>
      </c>
    </row>
    <row r="12" spans="1:20" x14ac:dyDescent="0.35">
      <c r="A12">
        <v>1</v>
      </c>
      <c r="B12">
        <v>1</v>
      </c>
      <c r="C12" t="s">
        <v>685</v>
      </c>
      <c r="D12" t="s">
        <v>725</v>
      </c>
      <c r="E12" t="s">
        <v>22</v>
      </c>
      <c r="F12">
        <v>11</v>
      </c>
      <c r="H12" t="s">
        <v>23</v>
      </c>
      <c r="I12" t="s">
        <v>24</v>
      </c>
      <c r="J12" t="s">
        <v>691</v>
      </c>
      <c r="K12" t="s">
        <v>124</v>
      </c>
      <c r="L12">
        <v>3</v>
      </c>
      <c r="M12">
        <v>152</v>
      </c>
      <c r="N12" t="s">
        <v>86</v>
      </c>
      <c r="O12">
        <v>32.1</v>
      </c>
      <c r="P12">
        <f t="shared" si="0"/>
        <v>28.73</v>
      </c>
      <c r="Q12">
        <v>12</v>
      </c>
      <c r="R12">
        <v>5</v>
      </c>
      <c r="S12">
        <v>65</v>
      </c>
      <c r="T12" t="s">
        <v>692</v>
      </c>
    </row>
    <row r="13" spans="1:20" s="3" customFormat="1" x14ac:dyDescent="0.35">
      <c r="A13" s="3">
        <v>1</v>
      </c>
      <c r="B13" s="3">
        <v>1</v>
      </c>
      <c r="C13" s="3" t="s">
        <v>685</v>
      </c>
      <c r="D13" s="3" t="s">
        <v>726</v>
      </c>
      <c r="E13" s="3" t="s">
        <v>22</v>
      </c>
      <c r="H13" s="3" t="s">
        <v>23</v>
      </c>
      <c r="I13" s="3" t="s">
        <v>77</v>
      </c>
      <c r="J13" s="3" t="s">
        <v>78</v>
      </c>
      <c r="K13" s="3" t="s">
        <v>78</v>
      </c>
      <c r="L13" s="3">
        <v>2</v>
      </c>
      <c r="M13" s="3" t="s">
        <v>79</v>
      </c>
      <c r="N13" s="3" t="s">
        <v>80</v>
      </c>
      <c r="O13" s="3">
        <v>4.5999999999999996</v>
      </c>
      <c r="P13" s="3">
        <f t="shared" si="0"/>
        <v>1.2299999999999995</v>
      </c>
      <c r="Q13" s="3" t="s">
        <v>399</v>
      </c>
      <c r="R13" s="3">
        <v>3</v>
      </c>
      <c r="S13" s="3">
        <v>87</v>
      </c>
      <c r="T13" s="3" t="s">
        <v>81</v>
      </c>
    </row>
    <row r="14" spans="1:20" s="3" customFormat="1" x14ac:dyDescent="0.35">
      <c r="A14" s="3">
        <v>1</v>
      </c>
      <c r="B14" s="3">
        <v>1</v>
      </c>
      <c r="C14" s="3" t="s">
        <v>685</v>
      </c>
      <c r="D14" s="3" t="s">
        <v>727</v>
      </c>
      <c r="E14" s="3" t="s">
        <v>22</v>
      </c>
      <c r="H14" s="3" t="s">
        <v>23</v>
      </c>
      <c r="I14" s="3" t="s">
        <v>77</v>
      </c>
      <c r="J14" s="3" t="s">
        <v>78</v>
      </c>
      <c r="K14" s="3" t="s">
        <v>78</v>
      </c>
      <c r="L14" s="3">
        <v>4</v>
      </c>
      <c r="M14" s="3" t="s">
        <v>79</v>
      </c>
      <c r="N14" s="3" t="s">
        <v>80</v>
      </c>
      <c r="O14" s="3">
        <v>5.0999999999999996</v>
      </c>
      <c r="P14" s="3">
        <f t="shared" si="0"/>
        <v>1.7299999999999995</v>
      </c>
      <c r="Q14" s="3" t="s">
        <v>514</v>
      </c>
      <c r="R14" s="3">
        <v>3</v>
      </c>
      <c r="S14" s="3">
        <v>154</v>
      </c>
      <c r="T14" s="3" t="s">
        <v>81</v>
      </c>
    </row>
    <row r="15" spans="1:20" x14ac:dyDescent="0.35">
      <c r="A15">
        <v>1</v>
      </c>
      <c r="B15">
        <v>1</v>
      </c>
      <c r="C15" t="s">
        <v>685</v>
      </c>
      <c r="D15" t="s">
        <v>728</v>
      </c>
      <c r="E15" t="s">
        <v>22</v>
      </c>
      <c r="F15">
        <v>2</v>
      </c>
      <c r="H15" t="s">
        <v>23</v>
      </c>
      <c r="I15" t="s">
        <v>24</v>
      </c>
      <c r="J15">
        <v>121</v>
      </c>
      <c r="K15" t="s">
        <v>729</v>
      </c>
      <c r="L15">
        <v>4</v>
      </c>
      <c r="M15" t="s">
        <v>294</v>
      </c>
      <c r="N15" t="s">
        <v>111</v>
      </c>
      <c r="O15">
        <v>20.2</v>
      </c>
      <c r="P15">
        <f t="shared" si="0"/>
        <v>16.829999999999998</v>
      </c>
      <c r="Q15" t="s">
        <v>730</v>
      </c>
      <c r="R15">
        <v>4</v>
      </c>
      <c r="S15">
        <v>88</v>
      </c>
      <c r="T15" t="s">
        <v>498</v>
      </c>
    </row>
    <row r="16" spans="1:20" x14ac:dyDescent="0.35">
      <c r="A16">
        <v>1</v>
      </c>
      <c r="B16">
        <v>1</v>
      </c>
      <c r="C16" t="s">
        <v>685</v>
      </c>
      <c r="D16" t="s">
        <v>731</v>
      </c>
      <c r="E16" t="s">
        <v>22</v>
      </c>
      <c r="F16">
        <v>3</v>
      </c>
      <c r="H16" t="s">
        <v>23</v>
      </c>
      <c r="I16" t="s">
        <v>24</v>
      </c>
      <c r="J16" t="s">
        <v>732</v>
      </c>
      <c r="K16" t="s">
        <v>733</v>
      </c>
      <c r="L16">
        <v>5</v>
      </c>
      <c r="M16" t="s">
        <v>734</v>
      </c>
      <c r="N16" t="s">
        <v>396</v>
      </c>
      <c r="O16">
        <v>14.1</v>
      </c>
      <c r="P16">
        <f t="shared" si="0"/>
        <v>10.73</v>
      </c>
      <c r="Q16" t="s">
        <v>268</v>
      </c>
      <c r="R16">
        <v>3</v>
      </c>
      <c r="S16">
        <v>32</v>
      </c>
      <c r="T16" t="s">
        <v>253</v>
      </c>
    </row>
    <row r="17" spans="1:20" x14ac:dyDescent="0.35">
      <c r="A17">
        <v>1</v>
      </c>
      <c r="B17">
        <v>1</v>
      </c>
      <c r="C17" t="s">
        <v>685</v>
      </c>
      <c r="D17" t="s">
        <v>735</v>
      </c>
      <c r="E17" t="s">
        <v>22</v>
      </c>
      <c r="F17">
        <v>12</v>
      </c>
      <c r="H17" t="s">
        <v>23</v>
      </c>
      <c r="I17" t="s">
        <v>24</v>
      </c>
      <c r="J17" t="s">
        <v>736</v>
      </c>
      <c r="K17" t="s">
        <v>737</v>
      </c>
      <c r="L17">
        <v>2</v>
      </c>
      <c r="M17" t="s">
        <v>738</v>
      </c>
      <c r="N17" t="s">
        <v>402</v>
      </c>
      <c r="O17">
        <v>33.1</v>
      </c>
      <c r="P17">
        <f t="shared" si="0"/>
        <v>29.73</v>
      </c>
      <c r="Q17" t="s">
        <v>739</v>
      </c>
      <c r="R17">
        <v>3</v>
      </c>
      <c r="S17">
        <v>87</v>
      </c>
      <c r="T17" t="s">
        <v>570</v>
      </c>
    </row>
    <row r="18" spans="1:20" x14ac:dyDescent="0.35">
      <c r="A18">
        <v>1</v>
      </c>
      <c r="B18">
        <v>1</v>
      </c>
      <c r="C18" t="s">
        <v>685</v>
      </c>
      <c r="D18" t="s">
        <v>740</v>
      </c>
      <c r="E18" t="s">
        <v>22</v>
      </c>
      <c r="F18">
        <v>11</v>
      </c>
      <c r="H18" t="s">
        <v>23</v>
      </c>
      <c r="I18" t="s">
        <v>24</v>
      </c>
      <c r="J18" t="s">
        <v>691</v>
      </c>
      <c r="K18" t="s">
        <v>124</v>
      </c>
      <c r="L18">
        <v>3</v>
      </c>
      <c r="M18">
        <v>152</v>
      </c>
      <c r="N18" t="s">
        <v>86</v>
      </c>
      <c r="O18">
        <v>32.1</v>
      </c>
      <c r="P18">
        <f t="shared" si="0"/>
        <v>28.73</v>
      </c>
      <c r="Q18">
        <v>12</v>
      </c>
      <c r="R18">
        <v>5</v>
      </c>
      <c r="S18">
        <v>65</v>
      </c>
      <c r="T18" t="s">
        <v>692</v>
      </c>
    </row>
    <row r="19" spans="1:20" x14ac:dyDescent="0.35">
      <c r="A19">
        <v>1</v>
      </c>
      <c r="B19">
        <v>1</v>
      </c>
      <c r="C19" t="s">
        <v>685</v>
      </c>
      <c r="D19" t="s">
        <v>741</v>
      </c>
      <c r="E19" t="s">
        <v>22</v>
      </c>
      <c r="F19">
        <v>6</v>
      </c>
      <c r="H19" t="s">
        <v>23</v>
      </c>
      <c r="I19" t="s">
        <v>24</v>
      </c>
      <c r="J19" t="s">
        <v>134</v>
      </c>
      <c r="K19" t="s">
        <v>742</v>
      </c>
      <c r="L19">
        <v>5</v>
      </c>
      <c r="M19">
        <v>203</v>
      </c>
      <c r="N19" t="s">
        <v>32</v>
      </c>
      <c r="O19">
        <v>27.5</v>
      </c>
      <c r="P19">
        <f t="shared" si="0"/>
        <v>24.13</v>
      </c>
      <c r="Q19" t="s">
        <v>743</v>
      </c>
      <c r="R19">
        <v>5</v>
      </c>
      <c r="S19">
        <v>89</v>
      </c>
      <c r="T19" t="s">
        <v>744</v>
      </c>
    </row>
    <row r="20" spans="1:20" x14ac:dyDescent="0.35">
      <c r="A20">
        <v>1</v>
      </c>
      <c r="B20">
        <v>1</v>
      </c>
      <c r="C20" t="s">
        <v>685</v>
      </c>
      <c r="D20" t="s">
        <v>745</v>
      </c>
      <c r="E20" t="s">
        <v>22</v>
      </c>
      <c r="F20">
        <v>10</v>
      </c>
      <c r="H20" t="s">
        <v>23</v>
      </c>
      <c r="I20" t="s">
        <v>24</v>
      </c>
      <c r="J20" t="s">
        <v>746</v>
      </c>
      <c r="K20" t="s">
        <v>436</v>
      </c>
      <c r="L20">
        <v>4</v>
      </c>
      <c r="M20" t="s">
        <v>747</v>
      </c>
      <c r="N20" t="s">
        <v>338</v>
      </c>
      <c r="O20">
        <v>44</v>
      </c>
      <c r="P20">
        <f t="shared" si="0"/>
        <v>40.630000000000003</v>
      </c>
      <c r="Q20" t="s">
        <v>748</v>
      </c>
      <c r="R20">
        <v>5</v>
      </c>
      <c r="S20">
        <v>100</v>
      </c>
      <c r="T20" t="s">
        <v>541</v>
      </c>
    </row>
    <row r="21" spans="1:20" s="3" customFormat="1" x14ac:dyDescent="0.35">
      <c r="A21" s="3">
        <v>1</v>
      </c>
      <c r="B21" s="3">
        <v>1</v>
      </c>
      <c r="C21" s="3" t="s">
        <v>685</v>
      </c>
      <c r="D21" s="3" t="s">
        <v>749</v>
      </c>
      <c r="E21" s="3" t="s">
        <v>22</v>
      </c>
      <c r="H21" s="3" t="s">
        <v>23</v>
      </c>
      <c r="I21" s="3" t="s">
        <v>77</v>
      </c>
      <c r="J21" s="3" t="s">
        <v>78</v>
      </c>
      <c r="K21" s="3" t="s">
        <v>78</v>
      </c>
      <c r="L21" s="3">
        <v>5</v>
      </c>
      <c r="M21" s="3" t="s">
        <v>79</v>
      </c>
      <c r="N21" s="3" t="s">
        <v>80</v>
      </c>
      <c r="O21" s="3">
        <v>4.9000000000000004</v>
      </c>
      <c r="P21" s="3">
        <f t="shared" si="0"/>
        <v>1.5300000000000002</v>
      </c>
      <c r="Q21" s="3" t="s">
        <v>293</v>
      </c>
      <c r="R21" s="3">
        <v>3</v>
      </c>
      <c r="S21" s="3">
        <v>228</v>
      </c>
      <c r="T21" s="3" t="s">
        <v>81</v>
      </c>
    </row>
    <row r="22" spans="1:20" x14ac:dyDescent="0.35">
      <c r="A22">
        <v>1</v>
      </c>
      <c r="B22">
        <v>1</v>
      </c>
      <c r="C22" t="s">
        <v>685</v>
      </c>
      <c r="D22" t="s">
        <v>750</v>
      </c>
      <c r="E22" t="s">
        <v>22</v>
      </c>
      <c r="F22">
        <v>7</v>
      </c>
      <c r="H22" t="s">
        <v>23</v>
      </c>
      <c r="I22" t="s">
        <v>24</v>
      </c>
      <c r="J22" t="s">
        <v>751</v>
      </c>
      <c r="K22" t="s">
        <v>752</v>
      </c>
      <c r="L22">
        <v>2</v>
      </c>
      <c r="M22" t="s">
        <v>753</v>
      </c>
      <c r="N22">
        <v>40</v>
      </c>
      <c r="O22">
        <v>9.1</v>
      </c>
      <c r="P22">
        <f t="shared" si="0"/>
        <v>5.7299999999999995</v>
      </c>
      <c r="Q22" t="s">
        <v>439</v>
      </c>
      <c r="R22">
        <v>3</v>
      </c>
      <c r="S22">
        <v>24</v>
      </c>
      <c r="T22" t="s">
        <v>189</v>
      </c>
    </row>
    <row r="23" spans="1:20" x14ac:dyDescent="0.35">
      <c r="A23">
        <v>1</v>
      </c>
      <c r="B23">
        <v>1</v>
      </c>
      <c r="C23" t="s">
        <v>685</v>
      </c>
      <c r="D23" t="s">
        <v>754</v>
      </c>
      <c r="E23" t="s">
        <v>22</v>
      </c>
      <c r="F23">
        <v>9</v>
      </c>
      <c r="H23" t="s">
        <v>23</v>
      </c>
      <c r="I23" t="s">
        <v>24</v>
      </c>
      <c r="J23" t="s">
        <v>755</v>
      </c>
      <c r="K23" t="s">
        <v>66</v>
      </c>
      <c r="L23">
        <v>2</v>
      </c>
      <c r="M23" t="s">
        <v>756</v>
      </c>
      <c r="N23">
        <v>58</v>
      </c>
      <c r="O23">
        <v>25.7</v>
      </c>
      <c r="P23">
        <f t="shared" si="0"/>
        <v>22.33</v>
      </c>
      <c r="Q23" t="s">
        <v>36</v>
      </c>
      <c r="R23">
        <v>4</v>
      </c>
      <c r="S23">
        <v>53</v>
      </c>
      <c r="T23" t="s">
        <v>580</v>
      </c>
    </row>
    <row r="25" spans="1:20" x14ac:dyDescent="0.35"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t="s">
        <v>9</v>
      </c>
      <c r="K25" t="s">
        <v>10</v>
      </c>
      <c r="L25" t="s">
        <v>11</v>
      </c>
      <c r="M25" t="s">
        <v>12</v>
      </c>
      <c r="N25" t="s">
        <v>13</v>
      </c>
      <c r="O25" t="s">
        <v>757</v>
      </c>
      <c r="Q25" t="s">
        <v>758</v>
      </c>
      <c r="R25" t="s">
        <v>759</v>
      </c>
      <c r="S25" t="s">
        <v>760</v>
      </c>
      <c r="T25" t="s">
        <v>761</v>
      </c>
    </row>
    <row r="26" spans="1:20" s="3" customFormat="1" x14ac:dyDescent="0.35">
      <c r="A26" s="3">
        <v>1</v>
      </c>
      <c r="B26" s="3">
        <v>2</v>
      </c>
      <c r="C26" s="3" t="s">
        <v>762</v>
      </c>
      <c r="D26" s="3" t="s">
        <v>763</v>
      </c>
      <c r="E26" s="3" t="s">
        <v>22</v>
      </c>
      <c r="H26" s="3" t="s">
        <v>23</v>
      </c>
      <c r="I26" s="3" t="s">
        <v>77</v>
      </c>
      <c r="J26" s="3" t="s">
        <v>78</v>
      </c>
      <c r="K26" s="3" t="s">
        <v>78</v>
      </c>
      <c r="L26" s="3">
        <v>2</v>
      </c>
      <c r="M26" s="3" t="s">
        <v>79</v>
      </c>
      <c r="N26" s="3" t="s">
        <v>80</v>
      </c>
      <c r="O26" s="3">
        <v>4.3</v>
      </c>
      <c r="P26" s="3">
        <f t="shared" ref="P26:P43" si="1">O26-$O$86</f>
        <v>0.92999999999999972</v>
      </c>
      <c r="Q26" s="3" t="s">
        <v>399</v>
      </c>
      <c r="R26" s="3">
        <v>3</v>
      </c>
      <c r="S26" s="3">
        <v>76</v>
      </c>
      <c r="T26" s="3" t="s">
        <v>81</v>
      </c>
    </row>
    <row r="27" spans="1:20" x14ac:dyDescent="0.35">
      <c r="A27">
        <v>1</v>
      </c>
      <c r="B27">
        <v>2</v>
      </c>
      <c r="C27" t="s">
        <v>762</v>
      </c>
      <c r="D27" t="s">
        <v>764</v>
      </c>
      <c r="E27" t="s">
        <v>22</v>
      </c>
      <c r="F27">
        <v>4</v>
      </c>
      <c r="H27" t="s">
        <v>23</v>
      </c>
      <c r="I27" t="s">
        <v>24</v>
      </c>
      <c r="J27" t="s">
        <v>765</v>
      </c>
      <c r="K27" t="s">
        <v>766</v>
      </c>
      <c r="L27">
        <v>2</v>
      </c>
      <c r="M27" t="s">
        <v>767</v>
      </c>
      <c r="N27" t="s">
        <v>423</v>
      </c>
      <c r="O27">
        <v>27.1</v>
      </c>
      <c r="P27">
        <f t="shared" si="1"/>
        <v>23.73</v>
      </c>
      <c r="Q27" t="s">
        <v>768</v>
      </c>
      <c r="R27">
        <v>4</v>
      </c>
      <c r="S27">
        <v>55</v>
      </c>
      <c r="T27" t="s">
        <v>586</v>
      </c>
    </row>
    <row r="28" spans="1:20" x14ac:dyDescent="0.35">
      <c r="A28">
        <v>1</v>
      </c>
      <c r="B28">
        <v>2</v>
      </c>
      <c r="C28" t="s">
        <v>762</v>
      </c>
      <c r="D28" t="s">
        <v>769</v>
      </c>
      <c r="E28" t="s">
        <v>22</v>
      </c>
      <c r="F28">
        <v>4</v>
      </c>
      <c r="H28" t="s">
        <v>23</v>
      </c>
      <c r="I28" t="s">
        <v>24</v>
      </c>
      <c r="J28" t="s">
        <v>765</v>
      </c>
      <c r="K28" t="s">
        <v>766</v>
      </c>
      <c r="L28">
        <v>2</v>
      </c>
      <c r="M28" t="s">
        <v>767</v>
      </c>
      <c r="N28" t="s">
        <v>423</v>
      </c>
      <c r="O28">
        <v>27.1</v>
      </c>
      <c r="P28">
        <f t="shared" si="1"/>
        <v>23.73</v>
      </c>
      <c r="Q28" t="s">
        <v>768</v>
      </c>
      <c r="R28">
        <v>4</v>
      </c>
      <c r="S28">
        <v>55</v>
      </c>
      <c r="T28" t="s">
        <v>586</v>
      </c>
    </row>
    <row r="29" spans="1:20" x14ac:dyDescent="0.35">
      <c r="A29">
        <v>1</v>
      </c>
      <c r="B29">
        <v>2</v>
      </c>
      <c r="C29" t="s">
        <v>762</v>
      </c>
      <c r="D29" t="s">
        <v>770</v>
      </c>
      <c r="E29" t="s">
        <v>22</v>
      </c>
      <c r="F29">
        <v>5</v>
      </c>
      <c r="H29" t="s">
        <v>23</v>
      </c>
      <c r="I29" t="s">
        <v>24</v>
      </c>
      <c r="J29">
        <v>29</v>
      </c>
      <c r="K29">
        <v>67</v>
      </c>
      <c r="L29">
        <v>3</v>
      </c>
      <c r="M29" t="s">
        <v>771</v>
      </c>
      <c r="N29" t="s">
        <v>113</v>
      </c>
      <c r="O29">
        <v>13</v>
      </c>
      <c r="P29">
        <f t="shared" si="1"/>
        <v>9.629999999999999</v>
      </c>
      <c r="Q29" t="s">
        <v>220</v>
      </c>
      <c r="R29">
        <v>5</v>
      </c>
      <c r="S29">
        <v>29</v>
      </c>
      <c r="T29" t="s">
        <v>274</v>
      </c>
    </row>
    <row r="30" spans="1:20" x14ac:dyDescent="0.35">
      <c r="A30">
        <v>1</v>
      </c>
      <c r="B30">
        <v>2</v>
      </c>
      <c r="C30" t="s">
        <v>762</v>
      </c>
      <c r="D30" t="s">
        <v>772</v>
      </c>
      <c r="E30" t="s">
        <v>22</v>
      </c>
      <c r="F30">
        <v>1</v>
      </c>
      <c r="H30" t="s">
        <v>23</v>
      </c>
      <c r="I30" t="s">
        <v>24</v>
      </c>
      <c r="J30" t="s">
        <v>773</v>
      </c>
      <c r="K30" t="s">
        <v>774</v>
      </c>
      <c r="L30">
        <v>3</v>
      </c>
      <c r="M30" t="s">
        <v>775</v>
      </c>
      <c r="N30" t="s">
        <v>572</v>
      </c>
      <c r="O30">
        <v>10.6</v>
      </c>
      <c r="P30">
        <f t="shared" si="1"/>
        <v>7.2299999999999995</v>
      </c>
      <c r="Q30" t="s">
        <v>197</v>
      </c>
      <c r="R30">
        <v>3</v>
      </c>
      <c r="S30">
        <v>28</v>
      </c>
      <c r="T30" t="s">
        <v>198</v>
      </c>
    </row>
    <row r="31" spans="1:20" x14ac:dyDescent="0.35">
      <c r="A31">
        <v>1</v>
      </c>
      <c r="B31">
        <v>2</v>
      </c>
      <c r="C31" t="s">
        <v>762</v>
      </c>
      <c r="D31" t="s">
        <v>776</v>
      </c>
      <c r="E31" t="s">
        <v>22</v>
      </c>
      <c r="F31">
        <v>2</v>
      </c>
      <c r="H31" t="s">
        <v>23</v>
      </c>
      <c r="I31" t="s">
        <v>24</v>
      </c>
      <c r="J31" t="s">
        <v>777</v>
      </c>
      <c r="K31">
        <v>34</v>
      </c>
      <c r="L31">
        <v>3</v>
      </c>
      <c r="M31" t="s">
        <v>250</v>
      </c>
      <c r="N31">
        <v>43</v>
      </c>
      <c r="O31">
        <v>19.899999999999999</v>
      </c>
      <c r="P31">
        <f t="shared" si="1"/>
        <v>16.529999999999998</v>
      </c>
      <c r="Q31" t="s">
        <v>778</v>
      </c>
      <c r="R31">
        <v>5</v>
      </c>
      <c r="S31">
        <v>46</v>
      </c>
      <c r="T31" t="s">
        <v>564</v>
      </c>
    </row>
    <row r="32" spans="1:20" x14ac:dyDescent="0.35">
      <c r="A32">
        <v>1</v>
      </c>
      <c r="B32">
        <v>2</v>
      </c>
      <c r="C32" t="s">
        <v>762</v>
      </c>
      <c r="D32" t="s">
        <v>779</v>
      </c>
      <c r="E32" t="s">
        <v>22</v>
      </c>
      <c r="F32">
        <v>5</v>
      </c>
      <c r="H32" t="s">
        <v>23</v>
      </c>
      <c r="I32" t="s">
        <v>24</v>
      </c>
      <c r="J32" t="s">
        <v>780</v>
      </c>
      <c r="K32" t="s">
        <v>781</v>
      </c>
      <c r="L32">
        <v>5</v>
      </c>
      <c r="M32" t="s">
        <v>782</v>
      </c>
      <c r="N32" t="s">
        <v>120</v>
      </c>
      <c r="O32">
        <v>19.899999999999999</v>
      </c>
      <c r="P32">
        <f t="shared" si="1"/>
        <v>16.529999999999998</v>
      </c>
      <c r="Q32" t="s">
        <v>560</v>
      </c>
      <c r="R32">
        <v>5</v>
      </c>
      <c r="S32">
        <v>48</v>
      </c>
      <c r="T32" t="s">
        <v>564</v>
      </c>
    </row>
    <row r="33" spans="1:20" s="3" customFormat="1" x14ac:dyDescent="0.35">
      <c r="A33" s="3">
        <v>1</v>
      </c>
      <c r="B33" s="3">
        <v>2</v>
      </c>
      <c r="C33" s="3" t="s">
        <v>762</v>
      </c>
      <c r="D33" s="3" t="s">
        <v>783</v>
      </c>
      <c r="E33" s="3" t="s">
        <v>22</v>
      </c>
      <c r="H33" s="3" t="s">
        <v>23</v>
      </c>
      <c r="I33" s="3" t="s">
        <v>77</v>
      </c>
      <c r="J33" s="3" t="s">
        <v>78</v>
      </c>
      <c r="K33" s="3" t="s">
        <v>78</v>
      </c>
      <c r="L33" s="3">
        <v>3</v>
      </c>
      <c r="M33" s="3" t="s">
        <v>79</v>
      </c>
      <c r="N33" s="3" t="s">
        <v>80</v>
      </c>
      <c r="O33" s="3">
        <v>4.2</v>
      </c>
      <c r="P33" s="3">
        <f t="shared" si="1"/>
        <v>0.83000000000000007</v>
      </c>
      <c r="Q33" s="3" t="s">
        <v>479</v>
      </c>
      <c r="R33" s="3">
        <v>3</v>
      </c>
      <c r="S33" s="3">
        <v>78</v>
      </c>
      <c r="T33" s="3" t="s">
        <v>81</v>
      </c>
    </row>
    <row r="34" spans="1:20" x14ac:dyDescent="0.35">
      <c r="A34">
        <v>1</v>
      </c>
      <c r="B34">
        <v>2</v>
      </c>
      <c r="C34" t="s">
        <v>762</v>
      </c>
      <c r="D34" t="s">
        <v>784</v>
      </c>
      <c r="E34" t="s">
        <v>22</v>
      </c>
      <c r="F34">
        <v>6</v>
      </c>
      <c r="H34" t="s">
        <v>23</v>
      </c>
      <c r="I34" t="s">
        <v>24</v>
      </c>
      <c r="J34" t="s">
        <v>785</v>
      </c>
      <c r="K34" t="s">
        <v>786</v>
      </c>
      <c r="L34">
        <v>3</v>
      </c>
      <c r="M34" t="s">
        <v>787</v>
      </c>
      <c r="N34" t="s">
        <v>788</v>
      </c>
      <c r="O34">
        <v>34.799999999999997</v>
      </c>
      <c r="P34">
        <f t="shared" si="1"/>
        <v>31.429999999999996</v>
      </c>
      <c r="Q34" t="s">
        <v>789</v>
      </c>
      <c r="R34">
        <v>7</v>
      </c>
      <c r="S34">
        <v>82</v>
      </c>
      <c r="T34" t="s">
        <v>790</v>
      </c>
    </row>
    <row r="35" spans="1:20" x14ac:dyDescent="0.35">
      <c r="A35">
        <v>1</v>
      </c>
      <c r="B35">
        <v>2</v>
      </c>
      <c r="C35" t="s">
        <v>762</v>
      </c>
      <c r="D35" t="s">
        <v>791</v>
      </c>
      <c r="E35" t="s">
        <v>22</v>
      </c>
      <c r="F35">
        <v>9</v>
      </c>
      <c r="H35" t="s">
        <v>23</v>
      </c>
      <c r="I35" t="s">
        <v>24</v>
      </c>
      <c r="J35" t="s">
        <v>792</v>
      </c>
      <c r="K35" t="s">
        <v>793</v>
      </c>
      <c r="L35">
        <v>2</v>
      </c>
      <c r="M35" t="s">
        <v>131</v>
      </c>
      <c r="N35" t="s">
        <v>794</v>
      </c>
      <c r="O35">
        <v>28.9</v>
      </c>
      <c r="P35">
        <f t="shared" si="1"/>
        <v>25.529999999999998</v>
      </c>
      <c r="Q35" t="s">
        <v>795</v>
      </c>
      <c r="R35">
        <v>1</v>
      </c>
      <c r="S35">
        <v>57</v>
      </c>
      <c r="T35" t="s">
        <v>290</v>
      </c>
    </row>
    <row r="36" spans="1:20" s="3" customFormat="1" x14ac:dyDescent="0.35">
      <c r="A36" s="3">
        <v>1</v>
      </c>
      <c r="B36" s="3">
        <v>2</v>
      </c>
      <c r="C36" s="3" t="s">
        <v>762</v>
      </c>
      <c r="D36" s="3" t="s">
        <v>796</v>
      </c>
      <c r="E36" s="3" t="s">
        <v>22</v>
      </c>
      <c r="H36" s="3" t="s">
        <v>23</v>
      </c>
      <c r="I36" s="3" t="s">
        <v>77</v>
      </c>
      <c r="J36" s="3" t="s">
        <v>78</v>
      </c>
      <c r="K36" s="3" t="s">
        <v>78</v>
      </c>
      <c r="L36" s="3">
        <v>5</v>
      </c>
      <c r="M36" s="3" t="s">
        <v>79</v>
      </c>
      <c r="N36" s="3" t="s">
        <v>80</v>
      </c>
      <c r="O36" s="3">
        <v>3.5</v>
      </c>
      <c r="P36" s="3">
        <f t="shared" si="1"/>
        <v>0.12999999999999989</v>
      </c>
      <c r="Q36" s="3">
        <v>2</v>
      </c>
      <c r="R36" s="3">
        <v>3</v>
      </c>
      <c r="S36" s="3">
        <v>49</v>
      </c>
      <c r="T36" s="3" t="s">
        <v>81</v>
      </c>
    </row>
    <row r="37" spans="1:20" x14ac:dyDescent="0.35">
      <c r="A37">
        <v>1</v>
      </c>
      <c r="B37">
        <v>2</v>
      </c>
      <c r="C37" t="s">
        <v>762</v>
      </c>
      <c r="D37" t="s">
        <v>797</v>
      </c>
      <c r="E37" t="s">
        <v>22</v>
      </c>
      <c r="F37">
        <v>8</v>
      </c>
      <c r="H37" t="s">
        <v>23</v>
      </c>
      <c r="I37" t="s">
        <v>24</v>
      </c>
      <c r="J37" t="s">
        <v>798</v>
      </c>
      <c r="K37">
        <v>139</v>
      </c>
      <c r="L37">
        <v>2</v>
      </c>
      <c r="M37" t="s">
        <v>799</v>
      </c>
      <c r="N37" t="s">
        <v>235</v>
      </c>
      <c r="O37">
        <v>15.8</v>
      </c>
      <c r="P37">
        <f t="shared" si="1"/>
        <v>12.43</v>
      </c>
      <c r="Q37" t="s">
        <v>765</v>
      </c>
      <c r="R37">
        <v>4</v>
      </c>
      <c r="S37">
        <v>53</v>
      </c>
      <c r="T37" t="s">
        <v>326</v>
      </c>
    </row>
    <row r="38" spans="1:20" x14ac:dyDescent="0.35">
      <c r="A38">
        <v>1</v>
      </c>
      <c r="B38">
        <v>2</v>
      </c>
      <c r="C38" t="s">
        <v>762</v>
      </c>
      <c r="D38" t="s">
        <v>800</v>
      </c>
      <c r="E38" t="s">
        <v>22</v>
      </c>
      <c r="F38">
        <v>3</v>
      </c>
      <c r="H38" t="s">
        <v>23</v>
      </c>
      <c r="I38" t="s">
        <v>24</v>
      </c>
      <c r="J38" t="s">
        <v>801</v>
      </c>
      <c r="K38" t="s">
        <v>802</v>
      </c>
      <c r="L38">
        <v>3</v>
      </c>
      <c r="M38" t="s">
        <v>803</v>
      </c>
      <c r="N38" t="s">
        <v>804</v>
      </c>
      <c r="O38">
        <v>24.2</v>
      </c>
      <c r="P38">
        <f t="shared" si="1"/>
        <v>20.83</v>
      </c>
      <c r="Q38" t="s">
        <v>805</v>
      </c>
      <c r="R38">
        <v>4</v>
      </c>
      <c r="S38">
        <v>48</v>
      </c>
      <c r="T38" t="s">
        <v>806</v>
      </c>
    </row>
    <row r="39" spans="1:20" x14ac:dyDescent="0.35">
      <c r="A39">
        <v>1</v>
      </c>
      <c r="B39">
        <v>2</v>
      </c>
      <c r="C39" t="s">
        <v>762</v>
      </c>
      <c r="D39" t="s">
        <v>807</v>
      </c>
      <c r="E39" t="s">
        <v>22</v>
      </c>
      <c r="F39">
        <v>7</v>
      </c>
      <c r="H39" t="s">
        <v>23</v>
      </c>
      <c r="I39" t="s">
        <v>24</v>
      </c>
      <c r="J39" t="s">
        <v>808</v>
      </c>
      <c r="K39" t="s">
        <v>809</v>
      </c>
      <c r="L39">
        <v>2</v>
      </c>
      <c r="M39" t="s">
        <v>473</v>
      </c>
      <c r="N39" t="s">
        <v>371</v>
      </c>
      <c r="O39">
        <v>9.8000000000000007</v>
      </c>
      <c r="P39">
        <f t="shared" si="1"/>
        <v>6.4300000000000006</v>
      </c>
      <c r="Q39" t="s">
        <v>203</v>
      </c>
      <c r="R39">
        <v>4</v>
      </c>
      <c r="S39">
        <v>18</v>
      </c>
      <c r="T39" t="s">
        <v>198</v>
      </c>
    </row>
    <row r="40" spans="1:20" x14ac:dyDescent="0.35">
      <c r="A40">
        <v>1</v>
      </c>
      <c r="B40">
        <v>2</v>
      </c>
      <c r="C40" t="s">
        <v>762</v>
      </c>
      <c r="D40" t="s">
        <v>810</v>
      </c>
      <c r="E40" t="s">
        <v>22</v>
      </c>
      <c r="F40">
        <v>8</v>
      </c>
      <c r="H40" t="s">
        <v>23</v>
      </c>
      <c r="I40" t="s">
        <v>24</v>
      </c>
      <c r="J40" t="s">
        <v>798</v>
      </c>
      <c r="K40">
        <v>139</v>
      </c>
      <c r="L40">
        <v>2</v>
      </c>
      <c r="M40" t="s">
        <v>799</v>
      </c>
      <c r="N40" t="s">
        <v>235</v>
      </c>
      <c r="O40">
        <v>15.8</v>
      </c>
      <c r="P40">
        <f t="shared" si="1"/>
        <v>12.43</v>
      </c>
      <c r="Q40" t="s">
        <v>765</v>
      </c>
      <c r="R40">
        <v>4</v>
      </c>
      <c r="S40">
        <v>53</v>
      </c>
      <c r="T40" t="s">
        <v>326</v>
      </c>
    </row>
    <row r="41" spans="1:20" x14ac:dyDescent="0.35">
      <c r="A41">
        <v>1</v>
      </c>
      <c r="B41">
        <v>2</v>
      </c>
      <c r="C41" t="s">
        <v>762</v>
      </c>
      <c r="D41" t="s">
        <v>811</v>
      </c>
      <c r="E41" t="s">
        <v>22</v>
      </c>
      <c r="F41">
        <v>7</v>
      </c>
      <c r="H41" t="s">
        <v>23</v>
      </c>
      <c r="I41" t="s">
        <v>24</v>
      </c>
      <c r="J41" t="s">
        <v>808</v>
      </c>
      <c r="K41" t="s">
        <v>809</v>
      </c>
      <c r="L41">
        <v>2</v>
      </c>
      <c r="M41" t="s">
        <v>473</v>
      </c>
      <c r="N41" t="s">
        <v>371</v>
      </c>
      <c r="O41">
        <v>9.8000000000000007</v>
      </c>
      <c r="P41">
        <f t="shared" si="1"/>
        <v>6.4300000000000006</v>
      </c>
      <c r="Q41" t="s">
        <v>203</v>
      </c>
      <c r="R41">
        <v>4</v>
      </c>
      <c r="S41">
        <v>18</v>
      </c>
      <c r="T41" t="s">
        <v>198</v>
      </c>
    </row>
    <row r="42" spans="1:20" x14ac:dyDescent="0.35">
      <c r="A42">
        <v>1</v>
      </c>
      <c r="B42">
        <v>2</v>
      </c>
      <c r="C42" t="s">
        <v>762</v>
      </c>
      <c r="D42" t="s">
        <v>812</v>
      </c>
      <c r="E42" t="s">
        <v>22</v>
      </c>
      <c r="F42">
        <v>4</v>
      </c>
      <c r="H42" t="s">
        <v>23</v>
      </c>
      <c r="I42" t="s">
        <v>24</v>
      </c>
      <c r="J42" t="s">
        <v>542</v>
      </c>
      <c r="K42" t="s">
        <v>766</v>
      </c>
      <c r="L42">
        <v>3</v>
      </c>
      <c r="M42" t="s">
        <v>813</v>
      </c>
      <c r="N42" t="s">
        <v>200</v>
      </c>
      <c r="O42">
        <v>29.7</v>
      </c>
      <c r="P42">
        <f t="shared" si="1"/>
        <v>26.33</v>
      </c>
      <c r="Q42">
        <v>10</v>
      </c>
      <c r="R42">
        <v>5</v>
      </c>
      <c r="S42">
        <v>68</v>
      </c>
      <c r="T42" t="s">
        <v>814</v>
      </c>
    </row>
    <row r="43" spans="1:20" x14ac:dyDescent="0.35">
      <c r="A43">
        <v>1</v>
      </c>
      <c r="B43">
        <v>2</v>
      </c>
      <c r="C43" t="s">
        <v>762</v>
      </c>
      <c r="D43" t="s">
        <v>815</v>
      </c>
      <c r="E43" t="s">
        <v>22</v>
      </c>
      <c r="F43">
        <v>9</v>
      </c>
      <c r="H43" t="s">
        <v>23</v>
      </c>
      <c r="I43" t="s">
        <v>24</v>
      </c>
      <c r="J43" t="s">
        <v>792</v>
      </c>
      <c r="K43" t="s">
        <v>793</v>
      </c>
      <c r="L43">
        <v>2</v>
      </c>
      <c r="M43" t="s">
        <v>131</v>
      </c>
      <c r="N43" t="s">
        <v>794</v>
      </c>
      <c r="O43">
        <v>28.9</v>
      </c>
      <c r="P43">
        <f t="shared" si="1"/>
        <v>25.529999999999998</v>
      </c>
      <c r="Q43" t="s">
        <v>795</v>
      </c>
      <c r="R43">
        <v>1</v>
      </c>
      <c r="S43">
        <v>57</v>
      </c>
      <c r="T43" t="s">
        <v>290</v>
      </c>
    </row>
    <row r="45" spans="1:20" x14ac:dyDescent="0.35">
      <c r="C45" t="s">
        <v>2</v>
      </c>
      <c r="D45" t="s">
        <v>3</v>
      </c>
      <c r="E45" t="s">
        <v>4</v>
      </c>
      <c r="F45" t="s">
        <v>5</v>
      </c>
      <c r="G45" t="s">
        <v>6</v>
      </c>
      <c r="H45" t="s">
        <v>7</v>
      </c>
      <c r="I45" t="s">
        <v>8</v>
      </c>
      <c r="J45" t="s">
        <v>9</v>
      </c>
      <c r="K45" t="s">
        <v>10</v>
      </c>
      <c r="L45" t="s">
        <v>11</v>
      </c>
      <c r="M45" t="s">
        <v>12</v>
      </c>
      <c r="N45" t="s">
        <v>13</v>
      </c>
      <c r="O45" t="s">
        <v>14</v>
      </c>
      <c r="Q45" t="s">
        <v>16</v>
      </c>
      <c r="R45" t="s">
        <v>17</v>
      </c>
      <c r="S45" t="s">
        <v>18</v>
      </c>
      <c r="T45" t="s">
        <v>19</v>
      </c>
    </row>
    <row r="46" spans="1:20" s="3" customFormat="1" x14ac:dyDescent="0.35">
      <c r="A46" s="3">
        <v>2</v>
      </c>
      <c r="B46" s="3">
        <v>1</v>
      </c>
      <c r="C46" s="3" t="s">
        <v>816</v>
      </c>
      <c r="D46" s="3" t="s">
        <v>817</v>
      </c>
      <c r="E46" s="3" t="s">
        <v>22</v>
      </c>
      <c r="H46" s="3" t="s">
        <v>23</v>
      </c>
      <c r="I46" s="3" t="s">
        <v>77</v>
      </c>
      <c r="J46" s="3" t="s">
        <v>78</v>
      </c>
      <c r="K46" s="3" t="s">
        <v>78</v>
      </c>
      <c r="L46" s="3">
        <v>5</v>
      </c>
      <c r="M46" s="3" t="s">
        <v>79</v>
      </c>
      <c r="N46" s="3" t="s">
        <v>80</v>
      </c>
      <c r="O46" s="3">
        <v>4.3</v>
      </c>
      <c r="P46" s="3">
        <f t="shared" ref="P46:P54" si="2">O46-$O$86</f>
        <v>0.92999999999999972</v>
      </c>
      <c r="Q46" s="3" t="s">
        <v>81</v>
      </c>
      <c r="R46" s="3">
        <v>3</v>
      </c>
      <c r="S46" s="3">
        <v>87</v>
      </c>
      <c r="T46" s="3" t="s">
        <v>81</v>
      </c>
    </row>
    <row r="47" spans="1:20" x14ac:dyDescent="0.35">
      <c r="A47">
        <v>2</v>
      </c>
      <c r="B47">
        <v>1</v>
      </c>
      <c r="C47" t="s">
        <v>816</v>
      </c>
      <c r="D47" t="s">
        <v>818</v>
      </c>
      <c r="E47" t="s">
        <v>22</v>
      </c>
      <c r="F47">
        <v>8</v>
      </c>
      <c r="H47" t="s">
        <v>23</v>
      </c>
      <c r="I47" t="s">
        <v>24</v>
      </c>
      <c r="J47" t="s">
        <v>591</v>
      </c>
      <c r="K47" t="s">
        <v>819</v>
      </c>
      <c r="L47">
        <v>3</v>
      </c>
      <c r="M47" t="s">
        <v>93</v>
      </c>
      <c r="N47" t="s">
        <v>338</v>
      </c>
      <c r="O47">
        <v>32.6</v>
      </c>
      <c r="P47">
        <f t="shared" si="2"/>
        <v>29.23</v>
      </c>
      <c r="Q47" t="s">
        <v>820</v>
      </c>
      <c r="R47">
        <v>5</v>
      </c>
      <c r="S47">
        <v>74</v>
      </c>
      <c r="T47" t="s">
        <v>692</v>
      </c>
    </row>
    <row r="48" spans="1:20" x14ac:dyDescent="0.35">
      <c r="A48">
        <v>2</v>
      </c>
      <c r="B48">
        <v>1</v>
      </c>
      <c r="C48" t="s">
        <v>816</v>
      </c>
      <c r="D48" t="s">
        <v>821</v>
      </c>
      <c r="E48" t="s">
        <v>22</v>
      </c>
      <c r="F48">
        <v>4</v>
      </c>
      <c r="H48" t="s">
        <v>23</v>
      </c>
      <c r="I48" t="s">
        <v>24</v>
      </c>
      <c r="J48" t="s">
        <v>822</v>
      </c>
      <c r="K48" t="s">
        <v>823</v>
      </c>
      <c r="L48">
        <v>3</v>
      </c>
      <c r="M48" t="s">
        <v>824</v>
      </c>
      <c r="N48" t="s">
        <v>825</v>
      </c>
      <c r="O48">
        <v>11.8</v>
      </c>
      <c r="P48">
        <f t="shared" si="2"/>
        <v>8.43</v>
      </c>
      <c r="Q48" t="s">
        <v>88</v>
      </c>
      <c r="R48">
        <v>3</v>
      </c>
      <c r="S48">
        <v>37</v>
      </c>
      <c r="T48" t="s">
        <v>109</v>
      </c>
    </row>
    <row r="49" spans="1:20" x14ac:dyDescent="0.35">
      <c r="A49">
        <v>2</v>
      </c>
      <c r="B49">
        <v>1</v>
      </c>
      <c r="C49" t="s">
        <v>816</v>
      </c>
      <c r="D49" t="s">
        <v>826</v>
      </c>
      <c r="E49" t="s">
        <v>22</v>
      </c>
      <c r="F49">
        <v>1</v>
      </c>
      <c r="H49" t="s">
        <v>23</v>
      </c>
      <c r="I49" t="s">
        <v>24</v>
      </c>
      <c r="J49" t="s">
        <v>746</v>
      </c>
      <c r="K49" t="s">
        <v>563</v>
      </c>
      <c r="L49">
        <v>5</v>
      </c>
      <c r="M49" t="s">
        <v>537</v>
      </c>
      <c r="N49" t="s">
        <v>196</v>
      </c>
      <c r="O49">
        <v>9.8000000000000007</v>
      </c>
      <c r="P49">
        <f t="shared" si="2"/>
        <v>6.4300000000000006</v>
      </c>
      <c r="Q49" t="s">
        <v>259</v>
      </c>
      <c r="R49">
        <v>3</v>
      </c>
      <c r="S49">
        <v>29</v>
      </c>
      <c r="T49" t="s">
        <v>189</v>
      </c>
    </row>
    <row r="50" spans="1:20" x14ac:dyDescent="0.35">
      <c r="A50">
        <v>2</v>
      </c>
      <c r="B50">
        <v>1</v>
      </c>
      <c r="C50" t="s">
        <v>816</v>
      </c>
      <c r="D50" t="s">
        <v>827</v>
      </c>
      <c r="E50" t="s">
        <v>22</v>
      </c>
      <c r="F50">
        <v>14</v>
      </c>
      <c r="H50" t="s">
        <v>23</v>
      </c>
      <c r="I50" t="s">
        <v>24</v>
      </c>
      <c r="J50" t="s">
        <v>51</v>
      </c>
      <c r="K50" t="s">
        <v>828</v>
      </c>
      <c r="L50">
        <v>5</v>
      </c>
      <c r="M50" t="s">
        <v>829</v>
      </c>
      <c r="N50" t="s">
        <v>180</v>
      </c>
      <c r="O50">
        <v>13.8</v>
      </c>
      <c r="P50">
        <f t="shared" si="2"/>
        <v>10.43</v>
      </c>
      <c r="Q50" t="s">
        <v>252</v>
      </c>
      <c r="R50">
        <v>3</v>
      </c>
      <c r="S50">
        <v>35</v>
      </c>
      <c r="T50" t="s">
        <v>238</v>
      </c>
    </row>
    <row r="51" spans="1:20" s="3" customFormat="1" x14ac:dyDescent="0.35">
      <c r="A51" s="3">
        <v>2</v>
      </c>
      <c r="B51" s="3">
        <v>1</v>
      </c>
      <c r="C51" s="3" t="s">
        <v>816</v>
      </c>
      <c r="D51" s="3" t="s">
        <v>830</v>
      </c>
      <c r="E51" s="3" t="s">
        <v>22</v>
      </c>
      <c r="H51" s="3" t="s">
        <v>23</v>
      </c>
      <c r="I51" s="3" t="s">
        <v>77</v>
      </c>
      <c r="J51" s="3" t="s">
        <v>78</v>
      </c>
      <c r="K51" s="3" t="s">
        <v>78</v>
      </c>
      <c r="L51" s="3">
        <v>3</v>
      </c>
      <c r="M51" s="3" t="s">
        <v>79</v>
      </c>
      <c r="N51" s="3" t="s">
        <v>80</v>
      </c>
      <c r="O51" s="3">
        <v>4.3</v>
      </c>
      <c r="P51" s="3">
        <f t="shared" si="2"/>
        <v>0.92999999999999972</v>
      </c>
      <c r="Q51" s="3" t="s">
        <v>479</v>
      </c>
      <c r="R51" s="3">
        <v>3</v>
      </c>
      <c r="S51" s="3">
        <v>74</v>
      </c>
      <c r="T51" s="3" t="s">
        <v>81</v>
      </c>
    </row>
    <row r="52" spans="1:20" x14ac:dyDescent="0.35">
      <c r="A52">
        <v>2</v>
      </c>
      <c r="B52">
        <v>1</v>
      </c>
      <c r="C52" t="s">
        <v>816</v>
      </c>
      <c r="D52" s="4" t="s">
        <v>831</v>
      </c>
      <c r="E52" t="s">
        <v>22</v>
      </c>
      <c r="F52">
        <v>2</v>
      </c>
      <c r="H52" t="s">
        <v>23</v>
      </c>
      <c r="I52" t="s">
        <v>24</v>
      </c>
      <c r="J52" t="s">
        <v>832</v>
      </c>
      <c r="K52">
        <v>13</v>
      </c>
      <c r="L52">
        <v>5</v>
      </c>
      <c r="M52" t="s">
        <v>833</v>
      </c>
      <c r="N52" t="s">
        <v>834</v>
      </c>
      <c r="O52">
        <v>9.6999999999999993</v>
      </c>
      <c r="P52">
        <f t="shared" si="2"/>
        <v>6.3299999999999992</v>
      </c>
      <c r="Q52" t="s">
        <v>259</v>
      </c>
      <c r="R52">
        <v>3</v>
      </c>
      <c r="S52">
        <v>23</v>
      </c>
      <c r="T52" t="s">
        <v>189</v>
      </c>
    </row>
    <row r="53" spans="1:20" x14ac:dyDescent="0.35">
      <c r="A53">
        <v>2</v>
      </c>
      <c r="B53">
        <v>1</v>
      </c>
      <c r="C53" t="s">
        <v>816</v>
      </c>
      <c r="D53" t="s">
        <v>835</v>
      </c>
      <c r="E53" t="s">
        <v>22</v>
      </c>
      <c r="F53">
        <v>12</v>
      </c>
      <c r="H53" t="s">
        <v>23</v>
      </c>
      <c r="I53" t="s">
        <v>24</v>
      </c>
      <c r="J53" t="s">
        <v>794</v>
      </c>
      <c r="K53" t="s">
        <v>836</v>
      </c>
      <c r="L53">
        <v>5</v>
      </c>
      <c r="M53" t="s">
        <v>837</v>
      </c>
      <c r="N53" t="s">
        <v>838</v>
      </c>
      <c r="O53">
        <v>9.4</v>
      </c>
      <c r="P53">
        <f t="shared" si="2"/>
        <v>6.03</v>
      </c>
      <c r="Q53" t="s">
        <v>159</v>
      </c>
      <c r="R53">
        <v>3</v>
      </c>
      <c r="S53">
        <v>26</v>
      </c>
      <c r="T53" t="s">
        <v>189</v>
      </c>
    </row>
    <row r="54" spans="1:20" x14ac:dyDescent="0.35">
      <c r="A54">
        <v>2</v>
      </c>
      <c r="B54">
        <v>1</v>
      </c>
      <c r="C54" t="s">
        <v>816</v>
      </c>
      <c r="D54" t="s">
        <v>839</v>
      </c>
      <c r="E54" t="s">
        <v>22</v>
      </c>
      <c r="F54">
        <v>7</v>
      </c>
      <c r="H54" t="s">
        <v>23</v>
      </c>
      <c r="I54" t="s">
        <v>24</v>
      </c>
      <c r="J54" t="s">
        <v>840</v>
      </c>
      <c r="K54" t="s">
        <v>841</v>
      </c>
      <c r="L54">
        <v>3</v>
      </c>
      <c r="M54" t="s">
        <v>842</v>
      </c>
      <c r="N54" t="s">
        <v>843</v>
      </c>
      <c r="O54">
        <v>32</v>
      </c>
      <c r="P54">
        <f t="shared" si="2"/>
        <v>28.63</v>
      </c>
      <c r="Q54" t="s">
        <v>730</v>
      </c>
      <c r="R54">
        <v>4</v>
      </c>
      <c r="S54">
        <v>73</v>
      </c>
      <c r="T54" t="s">
        <v>692</v>
      </c>
    </row>
    <row r="56" spans="1:20" x14ac:dyDescent="0.35">
      <c r="C56" t="s">
        <v>2</v>
      </c>
      <c r="D56" t="s">
        <v>3</v>
      </c>
      <c r="E56" t="s">
        <v>4</v>
      </c>
      <c r="F56" t="s">
        <v>5</v>
      </c>
      <c r="G56" t="s">
        <v>6</v>
      </c>
      <c r="H56" t="s">
        <v>7</v>
      </c>
      <c r="I56" t="s">
        <v>8</v>
      </c>
      <c r="J56" t="s">
        <v>9</v>
      </c>
      <c r="K56" t="s">
        <v>10</v>
      </c>
      <c r="L56" t="s">
        <v>11</v>
      </c>
      <c r="M56" t="s">
        <v>12</v>
      </c>
      <c r="N56" t="s">
        <v>13</v>
      </c>
      <c r="O56" t="s">
        <v>14</v>
      </c>
      <c r="Q56" t="s">
        <v>16</v>
      </c>
      <c r="R56" t="s">
        <v>17</v>
      </c>
      <c r="S56" t="s">
        <v>18</v>
      </c>
      <c r="T56" t="s">
        <v>19</v>
      </c>
    </row>
    <row r="57" spans="1:20" s="3" customFormat="1" x14ac:dyDescent="0.35">
      <c r="A57" s="3">
        <v>2</v>
      </c>
      <c r="B57" s="3">
        <v>2</v>
      </c>
      <c r="C57" s="3" t="s">
        <v>844</v>
      </c>
      <c r="D57" s="3" t="s">
        <v>845</v>
      </c>
      <c r="E57" s="3" t="s">
        <v>22</v>
      </c>
      <c r="H57" s="3" t="s">
        <v>23</v>
      </c>
      <c r="I57" s="3" t="s">
        <v>77</v>
      </c>
      <c r="J57" s="3" t="s">
        <v>78</v>
      </c>
      <c r="K57" s="3" t="s">
        <v>78</v>
      </c>
      <c r="L57" s="3">
        <v>3</v>
      </c>
      <c r="M57" s="3" t="s">
        <v>79</v>
      </c>
      <c r="N57" s="3" t="s">
        <v>80</v>
      </c>
      <c r="O57" s="3">
        <v>4.0999999999999996</v>
      </c>
      <c r="P57" s="3">
        <f t="shared" ref="P57:P68" si="3">O57-$O$86</f>
        <v>0.72999999999999954</v>
      </c>
      <c r="Q57" s="3" t="s">
        <v>75</v>
      </c>
      <c r="R57" s="3">
        <v>3</v>
      </c>
      <c r="S57" s="3">
        <v>48</v>
      </c>
      <c r="T57" s="3" t="s">
        <v>81</v>
      </c>
    </row>
    <row r="58" spans="1:20" s="3" customFormat="1" x14ac:dyDescent="0.35">
      <c r="A58" s="3">
        <v>2</v>
      </c>
      <c r="B58" s="3">
        <v>2</v>
      </c>
      <c r="C58" s="3" t="s">
        <v>844</v>
      </c>
      <c r="D58" s="3" t="s">
        <v>846</v>
      </c>
      <c r="E58" s="3" t="s">
        <v>22</v>
      </c>
      <c r="H58" s="3" t="s">
        <v>23</v>
      </c>
      <c r="I58" s="3" t="s">
        <v>77</v>
      </c>
      <c r="J58" s="3" t="s">
        <v>78</v>
      </c>
      <c r="K58" s="3" t="s">
        <v>78</v>
      </c>
      <c r="L58" s="3">
        <v>0</v>
      </c>
      <c r="M58" s="3" t="s">
        <v>79</v>
      </c>
      <c r="N58" s="3" t="s">
        <v>80</v>
      </c>
      <c r="O58" s="3">
        <v>3.8</v>
      </c>
      <c r="P58" s="3">
        <f t="shared" si="3"/>
        <v>0.42999999999999972</v>
      </c>
      <c r="Q58" s="3" t="s">
        <v>87</v>
      </c>
      <c r="R58" s="3">
        <v>3</v>
      </c>
      <c r="S58" s="3">
        <v>53</v>
      </c>
      <c r="T58" s="3" t="s">
        <v>81</v>
      </c>
    </row>
    <row r="59" spans="1:20" x14ac:dyDescent="0.35">
      <c r="A59">
        <v>2</v>
      </c>
      <c r="B59">
        <v>2</v>
      </c>
      <c r="C59" t="s">
        <v>844</v>
      </c>
      <c r="D59" t="s">
        <v>847</v>
      </c>
      <c r="E59" t="s">
        <v>22</v>
      </c>
      <c r="F59">
        <v>8</v>
      </c>
      <c r="H59" t="s">
        <v>23</v>
      </c>
      <c r="I59" t="s">
        <v>24</v>
      </c>
      <c r="J59" t="s">
        <v>471</v>
      </c>
      <c r="K59" t="s">
        <v>848</v>
      </c>
      <c r="L59">
        <v>3</v>
      </c>
      <c r="M59" t="s">
        <v>129</v>
      </c>
      <c r="N59" t="s">
        <v>54</v>
      </c>
      <c r="O59">
        <v>8</v>
      </c>
      <c r="P59">
        <f t="shared" si="3"/>
        <v>4.63</v>
      </c>
      <c r="Q59" t="s">
        <v>197</v>
      </c>
      <c r="R59">
        <v>3</v>
      </c>
      <c r="S59">
        <v>24</v>
      </c>
      <c r="T59" t="s">
        <v>30</v>
      </c>
    </row>
    <row r="60" spans="1:20" x14ac:dyDescent="0.35">
      <c r="A60">
        <v>2</v>
      </c>
      <c r="B60">
        <v>2</v>
      </c>
      <c r="C60" t="s">
        <v>844</v>
      </c>
      <c r="D60" t="s">
        <v>849</v>
      </c>
      <c r="E60" t="s">
        <v>22</v>
      </c>
      <c r="F60">
        <v>5</v>
      </c>
      <c r="H60" t="s">
        <v>23</v>
      </c>
      <c r="I60" t="s">
        <v>24</v>
      </c>
      <c r="J60">
        <v>163</v>
      </c>
      <c r="K60" t="s">
        <v>850</v>
      </c>
      <c r="L60">
        <v>4</v>
      </c>
      <c r="M60" t="s">
        <v>405</v>
      </c>
      <c r="N60" t="s">
        <v>851</v>
      </c>
      <c r="O60">
        <v>15.5</v>
      </c>
      <c r="P60">
        <f t="shared" si="3"/>
        <v>12.129999999999999</v>
      </c>
      <c r="Q60" t="s">
        <v>249</v>
      </c>
      <c r="R60">
        <v>4</v>
      </c>
      <c r="S60">
        <v>42</v>
      </c>
      <c r="T60" t="s">
        <v>326</v>
      </c>
    </row>
    <row r="61" spans="1:20" s="3" customFormat="1" x14ac:dyDescent="0.35">
      <c r="A61" s="3">
        <v>2</v>
      </c>
      <c r="B61" s="3">
        <v>2</v>
      </c>
      <c r="C61" s="3" t="s">
        <v>844</v>
      </c>
      <c r="D61" s="3" t="s">
        <v>852</v>
      </c>
      <c r="E61" s="3" t="s">
        <v>22</v>
      </c>
      <c r="H61" s="3" t="s">
        <v>23</v>
      </c>
      <c r="I61" s="3" t="s">
        <v>77</v>
      </c>
      <c r="J61" s="3" t="s">
        <v>78</v>
      </c>
      <c r="K61" s="3" t="s">
        <v>78</v>
      </c>
      <c r="L61" s="3">
        <v>4</v>
      </c>
      <c r="M61" s="3" t="s">
        <v>79</v>
      </c>
      <c r="N61" s="3" t="s">
        <v>80</v>
      </c>
      <c r="O61" s="3">
        <v>3.9</v>
      </c>
      <c r="P61" s="3">
        <f t="shared" si="3"/>
        <v>0.5299999999999998</v>
      </c>
      <c r="Q61" s="3" t="s">
        <v>75</v>
      </c>
      <c r="R61" s="3">
        <v>3</v>
      </c>
      <c r="S61" s="3">
        <v>64</v>
      </c>
      <c r="T61" s="3" t="s">
        <v>81</v>
      </c>
    </row>
    <row r="62" spans="1:20" x14ac:dyDescent="0.35">
      <c r="A62">
        <v>2</v>
      </c>
      <c r="B62">
        <v>2</v>
      </c>
      <c r="C62" t="s">
        <v>844</v>
      </c>
      <c r="D62" t="s">
        <v>853</v>
      </c>
      <c r="E62" t="s">
        <v>22</v>
      </c>
      <c r="F62">
        <v>3</v>
      </c>
      <c r="H62" t="s">
        <v>23</v>
      </c>
      <c r="I62" t="s">
        <v>24</v>
      </c>
      <c r="J62" t="s">
        <v>124</v>
      </c>
      <c r="K62">
        <v>51</v>
      </c>
      <c r="L62">
        <v>3</v>
      </c>
      <c r="M62" t="s">
        <v>854</v>
      </c>
      <c r="N62" t="s">
        <v>855</v>
      </c>
      <c r="O62">
        <v>13.1</v>
      </c>
      <c r="P62">
        <f t="shared" si="3"/>
        <v>9.73</v>
      </c>
      <c r="Q62" t="s">
        <v>856</v>
      </c>
      <c r="R62">
        <v>3</v>
      </c>
      <c r="S62">
        <v>31</v>
      </c>
      <c r="T62" t="s">
        <v>274</v>
      </c>
    </row>
    <row r="63" spans="1:20" x14ac:dyDescent="0.35">
      <c r="A63">
        <v>2</v>
      </c>
      <c r="B63">
        <v>2</v>
      </c>
      <c r="C63" t="s">
        <v>844</v>
      </c>
      <c r="D63" t="s">
        <v>857</v>
      </c>
      <c r="E63" t="s">
        <v>22</v>
      </c>
      <c r="F63">
        <v>1</v>
      </c>
      <c r="H63" t="s">
        <v>23</v>
      </c>
      <c r="I63" t="s">
        <v>24</v>
      </c>
      <c r="J63" t="s">
        <v>833</v>
      </c>
      <c r="K63" t="s">
        <v>858</v>
      </c>
      <c r="L63">
        <v>0</v>
      </c>
      <c r="M63" t="s">
        <v>859</v>
      </c>
      <c r="N63" t="s">
        <v>32</v>
      </c>
      <c r="O63">
        <v>9</v>
      </c>
      <c r="P63">
        <f t="shared" si="3"/>
        <v>5.63</v>
      </c>
      <c r="Q63" t="s">
        <v>479</v>
      </c>
      <c r="R63">
        <v>3</v>
      </c>
      <c r="S63">
        <v>32</v>
      </c>
      <c r="T63" t="s">
        <v>36</v>
      </c>
    </row>
    <row r="64" spans="1:20" x14ac:dyDescent="0.35">
      <c r="A64">
        <v>2</v>
      </c>
      <c r="B64">
        <v>2</v>
      </c>
      <c r="C64" t="s">
        <v>844</v>
      </c>
      <c r="D64" t="s">
        <v>860</v>
      </c>
      <c r="E64" t="s">
        <v>22</v>
      </c>
      <c r="F64">
        <v>7</v>
      </c>
      <c r="H64" t="s">
        <v>23</v>
      </c>
      <c r="I64" t="s">
        <v>24</v>
      </c>
      <c r="J64" t="s">
        <v>861</v>
      </c>
      <c r="K64" t="s">
        <v>862</v>
      </c>
      <c r="L64">
        <v>3</v>
      </c>
      <c r="M64" t="s">
        <v>863</v>
      </c>
      <c r="N64">
        <v>50</v>
      </c>
      <c r="O64">
        <v>10.199999999999999</v>
      </c>
      <c r="P64">
        <f t="shared" si="3"/>
        <v>6.8299999999999992</v>
      </c>
      <c r="Q64" t="s">
        <v>293</v>
      </c>
      <c r="R64">
        <v>3</v>
      </c>
      <c r="S64">
        <v>48</v>
      </c>
      <c r="T64" t="s">
        <v>189</v>
      </c>
    </row>
    <row r="65" spans="1:20" x14ac:dyDescent="0.35">
      <c r="A65">
        <v>2</v>
      </c>
      <c r="B65">
        <v>2</v>
      </c>
      <c r="C65" t="s">
        <v>844</v>
      </c>
      <c r="D65" t="s">
        <v>864</v>
      </c>
      <c r="E65" t="s">
        <v>22</v>
      </c>
      <c r="F65">
        <v>1</v>
      </c>
      <c r="H65" t="s">
        <v>23</v>
      </c>
      <c r="I65" t="s">
        <v>24</v>
      </c>
      <c r="J65">
        <v>69</v>
      </c>
      <c r="K65" t="s">
        <v>865</v>
      </c>
      <c r="L65">
        <v>4</v>
      </c>
      <c r="M65">
        <v>148</v>
      </c>
      <c r="N65">
        <v>53</v>
      </c>
      <c r="O65">
        <v>16.100000000000001</v>
      </c>
      <c r="P65">
        <f t="shared" si="3"/>
        <v>12.73</v>
      </c>
      <c r="Q65" t="s">
        <v>42</v>
      </c>
      <c r="R65">
        <v>3</v>
      </c>
      <c r="S65">
        <v>43</v>
      </c>
      <c r="T65" t="s">
        <v>326</v>
      </c>
    </row>
    <row r="66" spans="1:20" x14ac:dyDescent="0.35">
      <c r="A66">
        <v>2</v>
      </c>
      <c r="B66">
        <v>2</v>
      </c>
      <c r="C66" t="s">
        <v>844</v>
      </c>
      <c r="D66" t="s">
        <v>866</v>
      </c>
      <c r="E66" t="s">
        <v>22</v>
      </c>
      <c r="F66">
        <v>6</v>
      </c>
      <c r="H66" t="s">
        <v>23</v>
      </c>
      <c r="I66" t="s">
        <v>24</v>
      </c>
      <c r="J66" t="s">
        <v>867</v>
      </c>
      <c r="K66" t="s">
        <v>868</v>
      </c>
      <c r="L66">
        <v>4</v>
      </c>
      <c r="M66" t="s">
        <v>562</v>
      </c>
      <c r="N66" t="s">
        <v>869</v>
      </c>
      <c r="O66">
        <v>13.7</v>
      </c>
      <c r="P66">
        <f t="shared" si="3"/>
        <v>10.329999999999998</v>
      </c>
      <c r="Q66" t="s">
        <v>249</v>
      </c>
      <c r="R66">
        <v>3</v>
      </c>
      <c r="S66">
        <v>40</v>
      </c>
      <c r="T66" t="s">
        <v>238</v>
      </c>
    </row>
    <row r="67" spans="1:20" x14ac:dyDescent="0.35">
      <c r="A67">
        <v>2</v>
      </c>
      <c r="B67">
        <v>2</v>
      </c>
      <c r="C67" t="s">
        <v>844</v>
      </c>
      <c r="D67" t="s">
        <v>870</v>
      </c>
      <c r="E67" t="s">
        <v>22</v>
      </c>
      <c r="F67">
        <v>2</v>
      </c>
      <c r="H67" t="s">
        <v>23</v>
      </c>
      <c r="I67" t="s">
        <v>24</v>
      </c>
      <c r="J67" t="s">
        <v>444</v>
      </c>
      <c r="K67" t="s">
        <v>871</v>
      </c>
      <c r="L67">
        <v>3</v>
      </c>
      <c r="M67" t="s">
        <v>872</v>
      </c>
      <c r="N67" t="s">
        <v>873</v>
      </c>
      <c r="O67">
        <v>8.4</v>
      </c>
      <c r="P67">
        <f t="shared" si="3"/>
        <v>5.03</v>
      </c>
      <c r="Q67" t="s">
        <v>29</v>
      </c>
      <c r="R67">
        <v>3</v>
      </c>
      <c r="S67">
        <v>24</v>
      </c>
      <c r="T67" t="s">
        <v>36</v>
      </c>
    </row>
    <row r="68" spans="1:20" x14ac:dyDescent="0.35">
      <c r="A68">
        <v>2</v>
      </c>
      <c r="B68">
        <v>2</v>
      </c>
      <c r="C68" t="s">
        <v>844</v>
      </c>
      <c r="D68" t="s">
        <v>874</v>
      </c>
      <c r="E68" t="s">
        <v>22</v>
      </c>
      <c r="F68">
        <v>4</v>
      </c>
      <c r="H68" t="s">
        <v>23</v>
      </c>
      <c r="I68" t="s">
        <v>24</v>
      </c>
      <c r="J68" t="s">
        <v>378</v>
      </c>
      <c r="K68" t="s">
        <v>875</v>
      </c>
      <c r="L68">
        <v>3</v>
      </c>
      <c r="M68" t="s">
        <v>614</v>
      </c>
      <c r="N68" t="s">
        <v>794</v>
      </c>
      <c r="O68">
        <v>10.3</v>
      </c>
      <c r="P68">
        <f t="shared" si="3"/>
        <v>6.9300000000000006</v>
      </c>
      <c r="Q68" t="s">
        <v>209</v>
      </c>
      <c r="R68">
        <v>3</v>
      </c>
      <c r="S68">
        <v>27</v>
      </c>
      <c r="T68" t="s">
        <v>198</v>
      </c>
    </row>
    <row r="70" spans="1:20" x14ac:dyDescent="0.35">
      <c r="C70" t="s">
        <v>2</v>
      </c>
      <c r="D70" t="s">
        <v>3</v>
      </c>
      <c r="E70" t="s">
        <v>4</v>
      </c>
      <c r="F70" t="s">
        <v>5</v>
      </c>
      <c r="G70" t="s">
        <v>6</v>
      </c>
      <c r="H70" t="s">
        <v>7</v>
      </c>
      <c r="I70" t="s">
        <v>8</v>
      </c>
      <c r="J70" t="s">
        <v>9</v>
      </c>
      <c r="K70" t="s">
        <v>10</v>
      </c>
      <c r="L70" t="s">
        <v>11</v>
      </c>
      <c r="M70" t="s">
        <v>12</v>
      </c>
      <c r="N70" t="s">
        <v>13</v>
      </c>
      <c r="O70" t="s">
        <v>14</v>
      </c>
      <c r="Q70" t="s">
        <v>16</v>
      </c>
      <c r="R70" t="s">
        <v>17</v>
      </c>
      <c r="S70" t="s">
        <v>18</v>
      </c>
      <c r="T70" t="s">
        <v>19</v>
      </c>
    </row>
    <row r="71" spans="1:20" x14ac:dyDescent="0.35">
      <c r="A71">
        <v>2</v>
      </c>
      <c r="B71">
        <v>3</v>
      </c>
      <c r="C71" t="s">
        <v>876</v>
      </c>
      <c r="D71" t="s">
        <v>877</v>
      </c>
      <c r="E71" t="s">
        <v>22</v>
      </c>
      <c r="F71">
        <v>6</v>
      </c>
      <c r="H71" t="s">
        <v>23</v>
      </c>
      <c r="I71" t="s">
        <v>24</v>
      </c>
      <c r="J71" t="s">
        <v>739</v>
      </c>
      <c r="K71" t="s">
        <v>878</v>
      </c>
      <c r="L71">
        <v>3</v>
      </c>
      <c r="M71" t="s">
        <v>879</v>
      </c>
      <c r="N71" t="s">
        <v>336</v>
      </c>
      <c r="O71">
        <v>11.7</v>
      </c>
      <c r="P71">
        <f t="shared" ref="P71:P83" si="4">O71-$O$86</f>
        <v>8.3299999999999983</v>
      </c>
      <c r="Q71" t="s">
        <v>880</v>
      </c>
      <c r="R71">
        <v>3</v>
      </c>
      <c r="S71">
        <v>34</v>
      </c>
      <c r="T71" t="s">
        <v>109</v>
      </c>
    </row>
    <row r="72" spans="1:20" x14ac:dyDescent="0.35">
      <c r="A72">
        <v>2</v>
      </c>
      <c r="B72">
        <v>3</v>
      </c>
      <c r="C72" t="s">
        <v>876</v>
      </c>
      <c r="D72" t="s">
        <v>881</v>
      </c>
      <c r="E72" t="s">
        <v>22</v>
      </c>
      <c r="F72">
        <v>6</v>
      </c>
      <c r="H72" t="s">
        <v>23</v>
      </c>
      <c r="I72" t="s">
        <v>24</v>
      </c>
      <c r="J72" t="s">
        <v>882</v>
      </c>
      <c r="K72" t="s">
        <v>883</v>
      </c>
      <c r="L72">
        <v>2</v>
      </c>
      <c r="M72" t="s">
        <v>799</v>
      </c>
      <c r="N72" t="s">
        <v>553</v>
      </c>
      <c r="O72">
        <v>34.299999999999997</v>
      </c>
      <c r="P72">
        <f t="shared" si="4"/>
        <v>30.929999999999996</v>
      </c>
      <c r="Q72" t="s">
        <v>884</v>
      </c>
      <c r="R72">
        <v>3</v>
      </c>
      <c r="S72">
        <v>73</v>
      </c>
      <c r="T72" t="s">
        <v>885</v>
      </c>
    </row>
    <row r="73" spans="1:20" x14ac:dyDescent="0.35">
      <c r="A73">
        <v>2</v>
      </c>
      <c r="B73">
        <v>3</v>
      </c>
      <c r="C73" t="s">
        <v>876</v>
      </c>
      <c r="D73" t="s">
        <v>886</v>
      </c>
      <c r="E73" t="s">
        <v>22</v>
      </c>
      <c r="F73">
        <v>1</v>
      </c>
      <c r="H73" t="s">
        <v>23</v>
      </c>
      <c r="I73" t="s">
        <v>24</v>
      </c>
      <c r="J73" t="s">
        <v>887</v>
      </c>
      <c r="K73" t="s">
        <v>888</v>
      </c>
      <c r="L73">
        <v>5</v>
      </c>
      <c r="M73" t="s">
        <v>878</v>
      </c>
      <c r="N73" t="s">
        <v>889</v>
      </c>
      <c r="O73">
        <v>14.5</v>
      </c>
      <c r="P73">
        <f t="shared" si="4"/>
        <v>11.129999999999999</v>
      </c>
      <c r="Q73" t="s">
        <v>217</v>
      </c>
      <c r="R73">
        <v>4</v>
      </c>
      <c r="S73">
        <v>34</v>
      </c>
      <c r="T73" t="s">
        <v>253</v>
      </c>
    </row>
    <row r="74" spans="1:20" s="3" customFormat="1" x14ac:dyDescent="0.35">
      <c r="A74" s="3">
        <v>2</v>
      </c>
      <c r="B74" s="3">
        <v>3</v>
      </c>
      <c r="C74" s="3" t="s">
        <v>876</v>
      </c>
      <c r="D74" s="3" t="s">
        <v>890</v>
      </c>
      <c r="E74" s="3" t="s">
        <v>22</v>
      </c>
      <c r="H74" s="3" t="s">
        <v>23</v>
      </c>
      <c r="I74" s="3" t="s">
        <v>77</v>
      </c>
      <c r="J74" s="3" t="s">
        <v>78</v>
      </c>
      <c r="K74" s="3" t="s">
        <v>78</v>
      </c>
      <c r="L74" s="3">
        <v>5</v>
      </c>
      <c r="M74" s="3" t="s">
        <v>79</v>
      </c>
      <c r="N74" s="3" t="s">
        <v>80</v>
      </c>
      <c r="O74" s="3">
        <v>3.7</v>
      </c>
      <c r="P74" s="3">
        <f t="shared" si="4"/>
        <v>0.33000000000000007</v>
      </c>
      <c r="Q74" s="3">
        <v>2</v>
      </c>
      <c r="R74" s="3">
        <v>3</v>
      </c>
      <c r="S74" s="3">
        <v>41</v>
      </c>
      <c r="T74" s="3" t="s">
        <v>81</v>
      </c>
    </row>
    <row r="75" spans="1:20" x14ac:dyDescent="0.35">
      <c r="A75">
        <v>2</v>
      </c>
      <c r="B75">
        <v>3</v>
      </c>
      <c r="C75" t="s">
        <v>876</v>
      </c>
      <c r="D75" t="s">
        <v>891</v>
      </c>
      <c r="E75" t="s">
        <v>22</v>
      </c>
      <c r="F75">
        <v>7</v>
      </c>
      <c r="H75" t="s">
        <v>23</v>
      </c>
      <c r="I75" t="s">
        <v>24</v>
      </c>
      <c r="J75" t="s">
        <v>191</v>
      </c>
      <c r="K75" t="s">
        <v>654</v>
      </c>
      <c r="L75">
        <v>2</v>
      </c>
      <c r="M75" t="s">
        <v>892</v>
      </c>
      <c r="N75" t="s">
        <v>316</v>
      </c>
      <c r="O75">
        <v>9</v>
      </c>
      <c r="P75">
        <f t="shared" si="4"/>
        <v>5.63</v>
      </c>
      <c r="Q75" t="s">
        <v>159</v>
      </c>
      <c r="R75">
        <v>3</v>
      </c>
      <c r="S75">
        <v>25</v>
      </c>
      <c r="T75" t="s">
        <v>189</v>
      </c>
    </row>
    <row r="76" spans="1:20" x14ac:dyDescent="0.35">
      <c r="A76">
        <v>2</v>
      </c>
      <c r="B76">
        <v>3</v>
      </c>
      <c r="C76" t="s">
        <v>876</v>
      </c>
      <c r="D76" t="s">
        <v>893</v>
      </c>
      <c r="E76" t="s">
        <v>22</v>
      </c>
      <c r="F76">
        <v>2</v>
      </c>
      <c r="H76" t="s">
        <v>23</v>
      </c>
      <c r="I76" t="s">
        <v>24</v>
      </c>
      <c r="J76">
        <v>66</v>
      </c>
      <c r="K76" t="s">
        <v>894</v>
      </c>
      <c r="L76">
        <v>5</v>
      </c>
      <c r="M76" t="s">
        <v>787</v>
      </c>
      <c r="N76" t="s">
        <v>895</v>
      </c>
      <c r="O76">
        <v>7.4</v>
      </c>
      <c r="P76">
        <f t="shared" si="4"/>
        <v>4.03</v>
      </c>
      <c r="Q76">
        <v>3</v>
      </c>
      <c r="R76">
        <v>3</v>
      </c>
      <c r="S76">
        <v>23</v>
      </c>
      <c r="T76" t="s">
        <v>30</v>
      </c>
    </row>
    <row r="77" spans="1:20" x14ac:dyDescent="0.35">
      <c r="A77">
        <v>2</v>
      </c>
      <c r="B77">
        <v>3</v>
      </c>
      <c r="C77" t="s">
        <v>876</v>
      </c>
      <c r="D77" s="4" t="s">
        <v>896</v>
      </c>
      <c r="E77" t="s">
        <v>22</v>
      </c>
      <c r="F77">
        <v>2</v>
      </c>
      <c r="H77" t="s">
        <v>23</v>
      </c>
      <c r="I77" t="s">
        <v>24</v>
      </c>
      <c r="J77" t="s">
        <v>897</v>
      </c>
      <c r="K77" t="s">
        <v>898</v>
      </c>
      <c r="L77">
        <v>2</v>
      </c>
      <c r="M77" t="s">
        <v>899</v>
      </c>
      <c r="N77" t="s">
        <v>900</v>
      </c>
      <c r="O77">
        <v>15.1</v>
      </c>
      <c r="P77">
        <f t="shared" si="4"/>
        <v>11.73</v>
      </c>
      <c r="Q77" t="s">
        <v>514</v>
      </c>
      <c r="R77">
        <v>4</v>
      </c>
      <c r="S77">
        <v>40</v>
      </c>
      <c r="T77" t="s">
        <v>253</v>
      </c>
    </row>
    <row r="78" spans="1:20" s="3" customFormat="1" x14ac:dyDescent="0.35">
      <c r="A78" s="3">
        <v>2</v>
      </c>
      <c r="B78" s="3">
        <v>3</v>
      </c>
      <c r="C78" s="3" t="s">
        <v>876</v>
      </c>
      <c r="D78" s="3" t="s">
        <v>901</v>
      </c>
      <c r="E78" s="3" t="s">
        <v>22</v>
      </c>
      <c r="H78" s="3" t="s">
        <v>23</v>
      </c>
      <c r="I78" s="3" t="s">
        <v>77</v>
      </c>
      <c r="J78" s="3" t="s">
        <v>78</v>
      </c>
      <c r="K78" s="3" t="s">
        <v>78</v>
      </c>
      <c r="L78" s="3">
        <v>2</v>
      </c>
      <c r="M78" s="3" t="s">
        <v>79</v>
      </c>
      <c r="N78" s="3" t="s">
        <v>80</v>
      </c>
      <c r="O78" s="3">
        <v>4.2</v>
      </c>
      <c r="P78" s="3">
        <f t="shared" si="4"/>
        <v>0.83000000000000007</v>
      </c>
      <c r="Q78" s="3" t="s">
        <v>439</v>
      </c>
      <c r="R78" s="3">
        <v>3</v>
      </c>
      <c r="S78" s="3">
        <v>77</v>
      </c>
      <c r="T78" s="3" t="s">
        <v>81</v>
      </c>
    </row>
    <row r="79" spans="1:20" x14ac:dyDescent="0.35">
      <c r="A79">
        <v>2</v>
      </c>
      <c r="B79">
        <v>3</v>
      </c>
      <c r="C79" t="s">
        <v>876</v>
      </c>
      <c r="D79" t="s">
        <v>902</v>
      </c>
      <c r="E79" t="s">
        <v>22</v>
      </c>
      <c r="F79">
        <v>4</v>
      </c>
      <c r="H79" t="s">
        <v>23</v>
      </c>
      <c r="I79" t="s">
        <v>24</v>
      </c>
      <c r="J79">
        <v>33</v>
      </c>
      <c r="K79" t="s">
        <v>316</v>
      </c>
      <c r="L79">
        <v>5</v>
      </c>
      <c r="M79" t="s">
        <v>903</v>
      </c>
      <c r="N79" t="s">
        <v>904</v>
      </c>
      <c r="O79">
        <v>11.4</v>
      </c>
      <c r="P79">
        <f t="shared" si="4"/>
        <v>8.0300000000000011</v>
      </c>
      <c r="Q79" t="s">
        <v>399</v>
      </c>
      <c r="R79">
        <v>3</v>
      </c>
      <c r="S79">
        <v>32</v>
      </c>
      <c r="T79" t="s">
        <v>109</v>
      </c>
    </row>
    <row r="80" spans="1:20" x14ac:dyDescent="0.35">
      <c r="A80">
        <v>2</v>
      </c>
      <c r="B80">
        <v>3</v>
      </c>
      <c r="C80" t="s">
        <v>876</v>
      </c>
      <c r="D80" t="s">
        <v>905</v>
      </c>
      <c r="E80" t="s">
        <v>22</v>
      </c>
      <c r="F80">
        <v>3</v>
      </c>
      <c r="H80" t="s">
        <v>23</v>
      </c>
      <c r="I80" t="s">
        <v>24</v>
      </c>
      <c r="J80" t="s">
        <v>906</v>
      </c>
      <c r="K80" t="s">
        <v>907</v>
      </c>
      <c r="L80">
        <v>2</v>
      </c>
      <c r="M80" t="s">
        <v>908</v>
      </c>
      <c r="N80" t="s">
        <v>909</v>
      </c>
      <c r="O80">
        <v>10.6</v>
      </c>
      <c r="P80">
        <f t="shared" si="4"/>
        <v>7.2299999999999995</v>
      </c>
      <c r="Q80" t="s">
        <v>108</v>
      </c>
      <c r="R80">
        <v>3</v>
      </c>
      <c r="S80">
        <v>31</v>
      </c>
      <c r="T80" t="s">
        <v>198</v>
      </c>
    </row>
    <row r="81" spans="1:20" x14ac:dyDescent="0.35">
      <c r="A81">
        <v>2</v>
      </c>
      <c r="B81">
        <v>3</v>
      </c>
      <c r="C81" t="s">
        <v>876</v>
      </c>
      <c r="D81" t="s">
        <v>910</v>
      </c>
      <c r="E81" t="s">
        <v>22</v>
      </c>
      <c r="F81">
        <v>1</v>
      </c>
      <c r="H81" t="s">
        <v>23</v>
      </c>
      <c r="I81" t="s">
        <v>24</v>
      </c>
      <c r="J81" t="s">
        <v>911</v>
      </c>
      <c r="K81" t="s">
        <v>912</v>
      </c>
      <c r="L81">
        <v>2</v>
      </c>
      <c r="M81" t="s">
        <v>622</v>
      </c>
      <c r="N81" t="s">
        <v>696</v>
      </c>
      <c r="O81">
        <v>25.6</v>
      </c>
      <c r="P81">
        <f t="shared" si="4"/>
        <v>22.23</v>
      </c>
      <c r="Q81" t="s">
        <v>563</v>
      </c>
      <c r="R81">
        <v>6</v>
      </c>
      <c r="S81">
        <v>77</v>
      </c>
      <c r="T81" t="s">
        <v>744</v>
      </c>
    </row>
    <row r="82" spans="1:20" s="3" customFormat="1" x14ac:dyDescent="0.35">
      <c r="A82" s="3">
        <v>2</v>
      </c>
      <c r="B82" s="3">
        <v>3</v>
      </c>
      <c r="C82" s="3" t="s">
        <v>876</v>
      </c>
      <c r="D82" s="3" t="s">
        <v>913</v>
      </c>
      <c r="E82" s="3" t="s">
        <v>22</v>
      </c>
      <c r="H82" s="3" t="s">
        <v>23</v>
      </c>
      <c r="I82" s="3" t="s">
        <v>77</v>
      </c>
      <c r="J82" s="3" t="s">
        <v>78</v>
      </c>
      <c r="K82" s="3" t="s">
        <v>78</v>
      </c>
      <c r="L82" s="3">
        <v>3</v>
      </c>
      <c r="M82" s="3" t="s">
        <v>79</v>
      </c>
      <c r="N82" s="3" t="s">
        <v>80</v>
      </c>
      <c r="O82" s="3">
        <v>4.2</v>
      </c>
      <c r="P82" s="3">
        <f t="shared" si="4"/>
        <v>0.83000000000000007</v>
      </c>
      <c r="Q82" s="3" t="s">
        <v>29</v>
      </c>
      <c r="R82" s="3">
        <v>3</v>
      </c>
      <c r="S82" s="3">
        <v>76</v>
      </c>
      <c r="T82" s="3" t="s">
        <v>81</v>
      </c>
    </row>
    <row r="83" spans="1:20" x14ac:dyDescent="0.35">
      <c r="A83">
        <v>2</v>
      </c>
      <c r="B83">
        <v>3</v>
      </c>
      <c r="C83" t="s">
        <v>876</v>
      </c>
      <c r="D83" t="s">
        <v>914</v>
      </c>
      <c r="E83" t="s">
        <v>22</v>
      </c>
      <c r="F83">
        <v>4</v>
      </c>
      <c r="H83" t="s">
        <v>23</v>
      </c>
      <c r="I83" t="s">
        <v>24</v>
      </c>
      <c r="J83" t="s">
        <v>342</v>
      </c>
      <c r="K83" t="s">
        <v>915</v>
      </c>
      <c r="L83">
        <v>2</v>
      </c>
      <c r="M83" t="s">
        <v>916</v>
      </c>
      <c r="N83" t="s">
        <v>205</v>
      </c>
      <c r="O83">
        <v>12.2</v>
      </c>
      <c r="P83">
        <f t="shared" si="4"/>
        <v>8.8299999999999983</v>
      </c>
      <c r="Q83">
        <v>5</v>
      </c>
      <c r="R83">
        <v>3</v>
      </c>
      <c r="S83">
        <v>36</v>
      </c>
      <c r="T83" t="s">
        <v>274</v>
      </c>
    </row>
    <row r="86" spans="1:20" x14ac:dyDescent="0.35">
      <c r="M86" t="s">
        <v>684</v>
      </c>
      <c r="O86">
        <v>3.37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14"/>
  <sheetViews>
    <sheetView zoomScaleNormal="100" workbookViewId="0">
      <pane ySplit="1" topLeftCell="A2" activePane="bottomLeft" state="frozen"/>
      <selection pane="bottomLeft" activeCell="P9" sqref="P9"/>
    </sheetView>
  </sheetViews>
  <sheetFormatPr defaultColWidth="8.6328125"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s="2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1</v>
      </c>
      <c r="B2">
        <v>1</v>
      </c>
      <c r="C2" t="s">
        <v>917</v>
      </c>
      <c r="D2" t="s">
        <v>918</v>
      </c>
      <c r="E2" t="s">
        <v>22</v>
      </c>
      <c r="F2">
        <v>6</v>
      </c>
      <c r="H2" t="s">
        <v>23</v>
      </c>
      <c r="I2" t="s">
        <v>24</v>
      </c>
      <c r="J2" t="s">
        <v>167</v>
      </c>
      <c r="K2" t="s">
        <v>919</v>
      </c>
      <c r="L2">
        <v>3</v>
      </c>
      <c r="M2" t="s">
        <v>920</v>
      </c>
      <c r="N2" t="s">
        <v>921</v>
      </c>
      <c r="O2">
        <v>35.299999999999997</v>
      </c>
      <c r="P2">
        <f t="shared" ref="P2:P17" si="0">O2-$O$114</f>
        <v>31.929999999999996</v>
      </c>
      <c r="Q2">
        <v>11</v>
      </c>
      <c r="R2">
        <v>6</v>
      </c>
      <c r="S2">
        <v>80</v>
      </c>
      <c r="T2" t="s">
        <v>697</v>
      </c>
    </row>
    <row r="3" spans="1:20" s="3" customFormat="1" x14ac:dyDescent="0.35">
      <c r="A3" s="3">
        <v>1</v>
      </c>
      <c r="B3" s="3">
        <v>1</v>
      </c>
      <c r="C3" s="3" t="s">
        <v>917</v>
      </c>
      <c r="D3" s="3" t="s">
        <v>922</v>
      </c>
      <c r="E3" s="3" t="s">
        <v>22</v>
      </c>
      <c r="H3" s="3" t="s">
        <v>23</v>
      </c>
      <c r="I3" s="3" t="s">
        <v>77</v>
      </c>
      <c r="J3" s="3" t="s">
        <v>78</v>
      </c>
      <c r="K3" s="3" t="s">
        <v>78</v>
      </c>
      <c r="L3" s="3">
        <v>2</v>
      </c>
      <c r="M3" s="3" t="s">
        <v>79</v>
      </c>
      <c r="N3" s="3" t="s">
        <v>80</v>
      </c>
      <c r="O3" s="3">
        <v>5.0999999999999996</v>
      </c>
      <c r="P3" s="3">
        <f t="shared" si="0"/>
        <v>1.7299999999999995</v>
      </c>
      <c r="Q3" s="3" t="s">
        <v>268</v>
      </c>
      <c r="R3" s="3">
        <v>3</v>
      </c>
      <c r="S3" s="3">
        <v>93</v>
      </c>
      <c r="T3" s="3" t="s">
        <v>81</v>
      </c>
    </row>
    <row r="4" spans="1:20" x14ac:dyDescent="0.35">
      <c r="A4">
        <v>1</v>
      </c>
      <c r="B4">
        <v>1</v>
      </c>
      <c r="C4" t="s">
        <v>917</v>
      </c>
      <c r="D4" t="s">
        <v>923</v>
      </c>
      <c r="E4" t="s">
        <v>22</v>
      </c>
      <c r="F4">
        <v>5</v>
      </c>
      <c r="H4" t="s">
        <v>23</v>
      </c>
      <c r="I4" t="s">
        <v>24</v>
      </c>
      <c r="J4" t="s">
        <v>564</v>
      </c>
      <c r="K4" t="s">
        <v>924</v>
      </c>
      <c r="L4">
        <v>3</v>
      </c>
      <c r="M4" t="s">
        <v>667</v>
      </c>
      <c r="N4" t="s">
        <v>54</v>
      </c>
      <c r="O4">
        <v>10.6</v>
      </c>
      <c r="P4">
        <f t="shared" si="0"/>
        <v>7.2299999999999995</v>
      </c>
      <c r="Q4" t="s">
        <v>81</v>
      </c>
      <c r="R4">
        <v>3</v>
      </c>
      <c r="S4">
        <v>26</v>
      </c>
      <c r="T4" t="s">
        <v>198</v>
      </c>
    </row>
    <row r="5" spans="1:20" x14ac:dyDescent="0.35">
      <c r="A5">
        <v>1</v>
      </c>
      <c r="B5">
        <v>1</v>
      </c>
      <c r="C5" t="s">
        <v>917</v>
      </c>
      <c r="D5" t="s">
        <v>925</v>
      </c>
      <c r="E5" t="s">
        <v>22</v>
      </c>
      <c r="F5">
        <v>8</v>
      </c>
      <c r="H5" t="s">
        <v>23</v>
      </c>
      <c r="I5" t="s">
        <v>24</v>
      </c>
      <c r="J5" t="s">
        <v>926</v>
      </c>
      <c r="K5">
        <v>153</v>
      </c>
      <c r="L5">
        <v>1</v>
      </c>
      <c r="M5" t="s">
        <v>927</v>
      </c>
      <c r="N5" t="s">
        <v>443</v>
      </c>
      <c r="O5">
        <v>7.7</v>
      </c>
      <c r="P5">
        <f t="shared" si="0"/>
        <v>4.33</v>
      </c>
      <c r="Q5" t="s">
        <v>100</v>
      </c>
      <c r="R5">
        <v>3</v>
      </c>
      <c r="S5">
        <v>20</v>
      </c>
      <c r="T5" t="s">
        <v>30</v>
      </c>
    </row>
    <row r="6" spans="1:20" s="3" customFormat="1" x14ac:dyDescent="0.35">
      <c r="A6" s="3">
        <v>1</v>
      </c>
      <c r="B6" s="3">
        <v>1</v>
      </c>
      <c r="C6" s="3" t="s">
        <v>917</v>
      </c>
      <c r="D6" s="3" t="s">
        <v>928</v>
      </c>
      <c r="E6" s="3" t="s">
        <v>22</v>
      </c>
      <c r="H6" s="3" t="s">
        <v>23</v>
      </c>
      <c r="I6" s="3" t="s">
        <v>77</v>
      </c>
      <c r="J6" s="3" t="s">
        <v>78</v>
      </c>
      <c r="K6" s="3" t="s">
        <v>78</v>
      </c>
      <c r="L6" s="3">
        <v>3</v>
      </c>
      <c r="M6" s="3" t="s">
        <v>79</v>
      </c>
      <c r="N6" s="3" t="s">
        <v>80</v>
      </c>
      <c r="O6" s="3">
        <v>5.2</v>
      </c>
      <c r="P6" s="3">
        <f t="shared" si="0"/>
        <v>1.83</v>
      </c>
      <c r="Q6" s="3">
        <v>6</v>
      </c>
      <c r="R6" s="3">
        <v>3</v>
      </c>
      <c r="S6" s="3">
        <v>104</v>
      </c>
      <c r="T6" s="3" t="s">
        <v>81</v>
      </c>
    </row>
    <row r="7" spans="1:20" x14ac:dyDescent="0.35">
      <c r="A7">
        <v>1</v>
      </c>
      <c r="B7">
        <v>1</v>
      </c>
      <c r="C7" t="s">
        <v>917</v>
      </c>
      <c r="D7" t="s">
        <v>929</v>
      </c>
      <c r="E7" t="s">
        <v>22</v>
      </c>
      <c r="F7">
        <v>7</v>
      </c>
      <c r="H7" t="s">
        <v>23</v>
      </c>
      <c r="I7" t="s">
        <v>24</v>
      </c>
      <c r="J7" t="s">
        <v>930</v>
      </c>
      <c r="K7" t="s">
        <v>931</v>
      </c>
      <c r="L7">
        <v>2</v>
      </c>
      <c r="M7" t="s">
        <v>932</v>
      </c>
      <c r="N7" t="s">
        <v>559</v>
      </c>
      <c r="O7">
        <v>37</v>
      </c>
      <c r="P7">
        <f t="shared" si="0"/>
        <v>33.630000000000003</v>
      </c>
      <c r="Q7" t="s">
        <v>933</v>
      </c>
      <c r="R7">
        <v>6</v>
      </c>
      <c r="S7">
        <v>72</v>
      </c>
      <c r="T7" t="s">
        <v>470</v>
      </c>
    </row>
    <row r="8" spans="1:20" x14ac:dyDescent="0.35">
      <c r="A8">
        <v>1</v>
      </c>
      <c r="B8">
        <v>1</v>
      </c>
      <c r="C8" t="s">
        <v>917</v>
      </c>
      <c r="D8" t="s">
        <v>934</v>
      </c>
      <c r="E8" t="s">
        <v>22</v>
      </c>
      <c r="F8">
        <v>9</v>
      </c>
      <c r="H8" t="s">
        <v>23</v>
      </c>
      <c r="I8" t="s">
        <v>24</v>
      </c>
      <c r="J8" t="s">
        <v>694</v>
      </c>
      <c r="K8" t="s">
        <v>935</v>
      </c>
      <c r="L8">
        <v>1</v>
      </c>
      <c r="M8" t="s">
        <v>936</v>
      </c>
      <c r="N8" t="s">
        <v>644</v>
      </c>
      <c r="O8">
        <v>29</v>
      </c>
      <c r="P8">
        <f t="shared" si="0"/>
        <v>25.63</v>
      </c>
      <c r="Q8" t="s">
        <v>937</v>
      </c>
      <c r="R8">
        <v>4</v>
      </c>
      <c r="S8">
        <v>69</v>
      </c>
      <c r="T8" t="s">
        <v>290</v>
      </c>
    </row>
    <row r="9" spans="1:20" x14ac:dyDescent="0.35">
      <c r="A9">
        <v>1</v>
      </c>
      <c r="B9">
        <v>1</v>
      </c>
      <c r="C9" t="s">
        <v>917</v>
      </c>
      <c r="D9" t="s">
        <v>938</v>
      </c>
      <c r="E9" t="s">
        <v>22</v>
      </c>
      <c r="F9">
        <v>8</v>
      </c>
      <c r="H9" t="s">
        <v>23</v>
      </c>
      <c r="I9" t="s">
        <v>24</v>
      </c>
      <c r="J9" t="s">
        <v>926</v>
      </c>
      <c r="K9">
        <v>153</v>
      </c>
      <c r="L9">
        <v>1</v>
      </c>
      <c r="M9" t="s">
        <v>927</v>
      </c>
      <c r="N9" t="s">
        <v>443</v>
      </c>
      <c r="O9">
        <v>7.7</v>
      </c>
      <c r="P9">
        <f t="shared" si="0"/>
        <v>4.33</v>
      </c>
      <c r="Q9" t="s">
        <v>100</v>
      </c>
      <c r="R9">
        <v>3</v>
      </c>
      <c r="S9">
        <v>20</v>
      </c>
      <c r="T9" t="s">
        <v>30</v>
      </c>
    </row>
    <row r="10" spans="1:20" x14ac:dyDescent="0.35">
      <c r="A10">
        <v>1</v>
      </c>
      <c r="B10">
        <v>1</v>
      </c>
      <c r="C10" t="s">
        <v>917</v>
      </c>
      <c r="D10" t="s">
        <v>939</v>
      </c>
      <c r="E10" t="s">
        <v>22</v>
      </c>
      <c r="F10">
        <v>2</v>
      </c>
      <c r="H10" t="s">
        <v>23</v>
      </c>
      <c r="I10" t="s">
        <v>24</v>
      </c>
      <c r="J10" t="s">
        <v>940</v>
      </c>
      <c r="K10" t="s">
        <v>248</v>
      </c>
      <c r="L10">
        <v>3</v>
      </c>
      <c r="M10" t="s">
        <v>941</v>
      </c>
      <c r="N10" t="s">
        <v>834</v>
      </c>
      <c r="O10">
        <v>57.2</v>
      </c>
      <c r="P10">
        <f t="shared" si="0"/>
        <v>53.830000000000005</v>
      </c>
      <c r="Q10" t="s">
        <v>942</v>
      </c>
      <c r="R10">
        <v>9</v>
      </c>
      <c r="S10">
        <v>104</v>
      </c>
      <c r="T10" t="s">
        <v>405</v>
      </c>
    </row>
    <row r="11" spans="1:20" x14ac:dyDescent="0.35">
      <c r="A11">
        <v>1</v>
      </c>
      <c r="B11">
        <v>1</v>
      </c>
      <c r="C11" t="s">
        <v>917</v>
      </c>
      <c r="D11" t="s">
        <v>943</v>
      </c>
      <c r="E11" t="s">
        <v>22</v>
      </c>
      <c r="F11">
        <v>1</v>
      </c>
      <c r="H11" t="s">
        <v>23</v>
      </c>
      <c r="I11" t="s">
        <v>24</v>
      </c>
      <c r="J11" t="s">
        <v>944</v>
      </c>
      <c r="K11" t="s">
        <v>945</v>
      </c>
      <c r="L11">
        <v>3</v>
      </c>
      <c r="M11" t="s">
        <v>345</v>
      </c>
      <c r="N11" t="s">
        <v>946</v>
      </c>
      <c r="O11">
        <v>30.4</v>
      </c>
      <c r="P11">
        <f t="shared" si="0"/>
        <v>27.029999999999998</v>
      </c>
      <c r="Q11" t="s">
        <v>947</v>
      </c>
      <c r="R11">
        <v>6</v>
      </c>
      <c r="S11">
        <v>55</v>
      </c>
      <c r="T11" t="s">
        <v>570</v>
      </c>
    </row>
    <row r="12" spans="1:20" x14ac:dyDescent="0.35">
      <c r="A12">
        <v>1</v>
      </c>
      <c r="B12">
        <v>1</v>
      </c>
      <c r="C12" t="s">
        <v>917</v>
      </c>
      <c r="D12" t="s">
        <v>948</v>
      </c>
      <c r="E12" t="s">
        <v>22</v>
      </c>
      <c r="F12">
        <v>3</v>
      </c>
      <c r="H12" t="s">
        <v>23</v>
      </c>
      <c r="I12" t="s">
        <v>24</v>
      </c>
      <c r="J12" t="s">
        <v>653</v>
      </c>
      <c r="K12" t="s">
        <v>449</v>
      </c>
      <c r="L12">
        <v>2</v>
      </c>
      <c r="M12">
        <v>129</v>
      </c>
      <c r="N12" t="s">
        <v>873</v>
      </c>
      <c r="O12">
        <v>33.200000000000003</v>
      </c>
      <c r="P12">
        <f t="shared" si="0"/>
        <v>29.830000000000002</v>
      </c>
      <c r="Q12" t="s">
        <v>189</v>
      </c>
      <c r="R12">
        <v>9</v>
      </c>
      <c r="S12">
        <v>67</v>
      </c>
      <c r="T12" t="s">
        <v>949</v>
      </c>
    </row>
    <row r="13" spans="1:20" x14ac:dyDescent="0.35">
      <c r="A13">
        <v>1</v>
      </c>
      <c r="B13">
        <v>1</v>
      </c>
      <c r="C13" t="s">
        <v>917</v>
      </c>
      <c r="D13" t="s">
        <v>950</v>
      </c>
      <c r="E13" t="s">
        <v>22</v>
      </c>
      <c r="F13">
        <v>4</v>
      </c>
      <c r="H13" t="s">
        <v>23</v>
      </c>
      <c r="I13" t="s">
        <v>24</v>
      </c>
      <c r="J13" t="s">
        <v>951</v>
      </c>
      <c r="K13" t="s">
        <v>375</v>
      </c>
      <c r="L13">
        <v>3</v>
      </c>
      <c r="M13" t="s">
        <v>952</v>
      </c>
      <c r="N13" t="s">
        <v>666</v>
      </c>
      <c r="O13">
        <v>23.1</v>
      </c>
      <c r="P13">
        <f t="shared" si="0"/>
        <v>19.73</v>
      </c>
      <c r="Q13" t="s">
        <v>563</v>
      </c>
      <c r="R13">
        <v>4</v>
      </c>
      <c r="S13">
        <v>71</v>
      </c>
      <c r="T13" t="s">
        <v>555</v>
      </c>
    </row>
    <row r="14" spans="1:20" x14ac:dyDescent="0.35">
      <c r="A14">
        <v>1</v>
      </c>
      <c r="B14">
        <v>1</v>
      </c>
      <c r="C14" t="s">
        <v>917</v>
      </c>
      <c r="D14" t="s">
        <v>953</v>
      </c>
      <c r="E14" t="s">
        <v>22</v>
      </c>
      <c r="F14">
        <v>9</v>
      </c>
      <c r="H14" t="s">
        <v>23</v>
      </c>
      <c r="I14" t="s">
        <v>24</v>
      </c>
      <c r="J14" t="s">
        <v>694</v>
      </c>
      <c r="K14" t="s">
        <v>935</v>
      </c>
      <c r="L14">
        <v>1</v>
      </c>
      <c r="M14" t="s">
        <v>936</v>
      </c>
      <c r="N14" t="s">
        <v>644</v>
      </c>
      <c r="O14">
        <v>29</v>
      </c>
      <c r="P14">
        <f t="shared" si="0"/>
        <v>25.63</v>
      </c>
      <c r="Q14" t="s">
        <v>937</v>
      </c>
      <c r="R14">
        <v>4</v>
      </c>
      <c r="S14">
        <v>69</v>
      </c>
      <c r="T14" t="s">
        <v>290</v>
      </c>
    </row>
    <row r="15" spans="1:20" x14ac:dyDescent="0.35">
      <c r="A15">
        <v>1</v>
      </c>
      <c r="B15">
        <v>1</v>
      </c>
      <c r="C15" t="s">
        <v>917</v>
      </c>
      <c r="D15" t="s">
        <v>954</v>
      </c>
      <c r="E15" t="s">
        <v>22</v>
      </c>
      <c r="F15">
        <v>9</v>
      </c>
      <c r="H15" t="s">
        <v>23</v>
      </c>
      <c r="I15" t="s">
        <v>24</v>
      </c>
      <c r="J15">
        <v>142</v>
      </c>
      <c r="K15" t="s">
        <v>955</v>
      </c>
      <c r="L15">
        <v>2</v>
      </c>
      <c r="M15">
        <v>189</v>
      </c>
      <c r="N15" t="s">
        <v>956</v>
      </c>
      <c r="O15">
        <v>33.1</v>
      </c>
      <c r="P15">
        <f t="shared" si="0"/>
        <v>29.73</v>
      </c>
      <c r="Q15" t="s">
        <v>865</v>
      </c>
      <c r="R15">
        <v>9</v>
      </c>
      <c r="S15">
        <v>93</v>
      </c>
      <c r="T15" t="s">
        <v>570</v>
      </c>
    </row>
    <row r="16" spans="1:20" x14ac:dyDescent="0.35">
      <c r="A16">
        <v>1</v>
      </c>
      <c r="B16">
        <v>1</v>
      </c>
      <c r="C16" t="s">
        <v>917</v>
      </c>
      <c r="D16" t="s">
        <v>957</v>
      </c>
      <c r="E16" t="s">
        <v>22</v>
      </c>
      <c r="F16">
        <v>8</v>
      </c>
      <c r="H16" t="s">
        <v>23</v>
      </c>
      <c r="I16" t="s">
        <v>24</v>
      </c>
      <c r="J16" t="s">
        <v>696</v>
      </c>
      <c r="K16" t="s">
        <v>958</v>
      </c>
      <c r="L16">
        <v>3</v>
      </c>
      <c r="M16" t="s">
        <v>959</v>
      </c>
      <c r="N16" t="s">
        <v>314</v>
      </c>
      <c r="O16">
        <v>14.1</v>
      </c>
      <c r="P16">
        <f t="shared" si="0"/>
        <v>10.73</v>
      </c>
      <c r="Q16" t="s">
        <v>512</v>
      </c>
      <c r="R16">
        <v>4</v>
      </c>
      <c r="S16">
        <v>37</v>
      </c>
      <c r="T16" t="s">
        <v>253</v>
      </c>
    </row>
    <row r="17" spans="1:20" s="3" customFormat="1" x14ac:dyDescent="0.35">
      <c r="A17">
        <v>1</v>
      </c>
      <c r="B17" s="3">
        <v>1</v>
      </c>
      <c r="C17" s="3" t="s">
        <v>917</v>
      </c>
      <c r="D17" s="3" t="s">
        <v>960</v>
      </c>
      <c r="E17" s="3" t="s">
        <v>22</v>
      </c>
      <c r="H17" s="3" t="s">
        <v>23</v>
      </c>
      <c r="I17" s="3" t="s">
        <v>77</v>
      </c>
      <c r="J17" s="3" t="s">
        <v>78</v>
      </c>
      <c r="K17" s="3" t="s">
        <v>78</v>
      </c>
      <c r="L17" s="3">
        <v>1</v>
      </c>
      <c r="M17" s="3" t="s">
        <v>79</v>
      </c>
      <c r="N17" s="3" t="s">
        <v>80</v>
      </c>
      <c r="O17" s="3">
        <v>4.4000000000000004</v>
      </c>
      <c r="P17" s="3">
        <f t="shared" si="0"/>
        <v>1.0300000000000002</v>
      </c>
      <c r="Q17" s="3" t="s">
        <v>81</v>
      </c>
      <c r="R17" s="3">
        <v>3</v>
      </c>
      <c r="S17" s="3">
        <v>69</v>
      </c>
      <c r="T17" s="3" t="s">
        <v>81</v>
      </c>
    </row>
    <row r="19" spans="1:20" x14ac:dyDescent="0.35"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8</v>
      </c>
      <c r="J19" t="s">
        <v>9</v>
      </c>
      <c r="K19" t="s">
        <v>10</v>
      </c>
      <c r="L19" t="s">
        <v>11</v>
      </c>
      <c r="M19" t="s">
        <v>12</v>
      </c>
      <c r="N19" t="s">
        <v>13</v>
      </c>
      <c r="O19" t="s">
        <v>14</v>
      </c>
      <c r="Q19" t="s">
        <v>16</v>
      </c>
      <c r="R19" t="s">
        <v>17</v>
      </c>
      <c r="S19" t="s">
        <v>18</v>
      </c>
      <c r="T19" t="s">
        <v>19</v>
      </c>
    </row>
    <row r="20" spans="1:20" x14ac:dyDescent="0.35">
      <c r="A20">
        <v>1</v>
      </c>
      <c r="B20">
        <v>2</v>
      </c>
      <c r="C20" t="s">
        <v>961</v>
      </c>
      <c r="D20" t="s">
        <v>962</v>
      </c>
      <c r="E20" t="s">
        <v>22</v>
      </c>
      <c r="F20">
        <v>10</v>
      </c>
      <c r="H20" t="s">
        <v>23</v>
      </c>
      <c r="I20" t="s">
        <v>24</v>
      </c>
      <c r="J20" t="s">
        <v>568</v>
      </c>
      <c r="K20" t="s">
        <v>963</v>
      </c>
      <c r="L20">
        <v>2</v>
      </c>
      <c r="M20" t="s">
        <v>301</v>
      </c>
      <c r="N20" t="s">
        <v>54</v>
      </c>
      <c r="O20">
        <v>16.2</v>
      </c>
      <c r="P20">
        <f t="shared" ref="P20:P37" si="1">O20-$O$114</f>
        <v>12.829999999999998</v>
      </c>
      <c r="Q20" t="s">
        <v>42</v>
      </c>
      <c r="R20">
        <v>4</v>
      </c>
      <c r="S20">
        <v>41</v>
      </c>
      <c r="T20" t="s">
        <v>326</v>
      </c>
    </row>
    <row r="21" spans="1:20" x14ac:dyDescent="0.35">
      <c r="A21">
        <v>1</v>
      </c>
      <c r="B21">
        <v>2</v>
      </c>
      <c r="C21" t="s">
        <v>961</v>
      </c>
      <c r="D21" t="s">
        <v>964</v>
      </c>
      <c r="E21" t="s">
        <v>22</v>
      </c>
      <c r="F21">
        <v>9</v>
      </c>
      <c r="H21" t="s">
        <v>23</v>
      </c>
      <c r="I21" t="s">
        <v>24</v>
      </c>
      <c r="J21" t="s">
        <v>75</v>
      </c>
      <c r="K21" t="s">
        <v>501</v>
      </c>
      <c r="L21">
        <v>3</v>
      </c>
      <c r="M21" t="s">
        <v>965</v>
      </c>
      <c r="N21" t="s">
        <v>568</v>
      </c>
      <c r="O21">
        <v>35.9</v>
      </c>
      <c r="P21">
        <f t="shared" si="1"/>
        <v>32.53</v>
      </c>
      <c r="Q21" t="s">
        <v>912</v>
      </c>
      <c r="R21">
        <v>9</v>
      </c>
      <c r="S21">
        <v>84</v>
      </c>
      <c r="T21" t="s">
        <v>790</v>
      </c>
    </row>
    <row r="22" spans="1:20" x14ac:dyDescent="0.35">
      <c r="A22">
        <v>1</v>
      </c>
      <c r="B22">
        <v>2</v>
      </c>
      <c r="C22" t="s">
        <v>961</v>
      </c>
      <c r="D22" t="s">
        <v>966</v>
      </c>
      <c r="E22" t="s">
        <v>22</v>
      </c>
      <c r="F22">
        <v>5</v>
      </c>
      <c r="H22" t="s">
        <v>23</v>
      </c>
      <c r="I22" t="s">
        <v>24</v>
      </c>
      <c r="J22" t="s">
        <v>967</v>
      </c>
      <c r="K22" t="s">
        <v>443</v>
      </c>
      <c r="L22">
        <v>3</v>
      </c>
      <c r="M22" t="s">
        <v>968</v>
      </c>
      <c r="N22" t="s">
        <v>969</v>
      </c>
      <c r="O22">
        <v>41.8</v>
      </c>
      <c r="P22">
        <f t="shared" si="1"/>
        <v>38.43</v>
      </c>
      <c r="Q22" t="s">
        <v>621</v>
      </c>
      <c r="R22">
        <v>12</v>
      </c>
      <c r="S22">
        <v>89</v>
      </c>
      <c r="T22" t="s">
        <v>111</v>
      </c>
    </row>
    <row r="23" spans="1:20" x14ac:dyDescent="0.35">
      <c r="A23">
        <v>1</v>
      </c>
      <c r="B23">
        <v>2</v>
      </c>
      <c r="C23" t="s">
        <v>961</v>
      </c>
      <c r="D23" t="s">
        <v>970</v>
      </c>
      <c r="E23" t="s">
        <v>22</v>
      </c>
      <c r="F23">
        <v>1</v>
      </c>
      <c r="H23" t="s">
        <v>23</v>
      </c>
      <c r="I23" t="s">
        <v>24</v>
      </c>
      <c r="J23" t="s">
        <v>971</v>
      </c>
      <c r="K23">
        <v>4</v>
      </c>
      <c r="L23">
        <v>3</v>
      </c>
      <c r="M23" t="s">
        <v>794</v>
      </c>
      <c r="N23" t="s">
        <v>972</v>
      </c>
      <c r="O23">
        <v>19</v>
      </c>
      <c r="P23">
        <f t="shared" si="1"/>
        <v>15.629999999999999</v>
      </c>
      <c r="Q23" t="s">
        <v>639</v>
      </c>
      <c r="R23">
        <v>5</v>
      </c>
      <c r="S23">
        <v>47</v>
      </c>
      <c r="T23" t="s">
        <v>498</v>
      </c>
    </row>
    <row r="24" spans="1:20" x14ac:dyDescent="0.35">
      <c r="A24">
        <v>1</v>
      </c>
      <c r="B24">
        <v>2</v>
      </c>
      <c r="C24" t="s">
        <v>961</v>
      </c>
      <c r="D24" t="s">
        <v>973</v>
      </c>
      <c r="E24" t="s">
        <v>22</v>
      </c>
      <c r="F24">
        <v>13</v>
      </c>
      <c r="H24" t="s">
        <v>23</v>
      </c>
      <c r="I24" t="s">
        <v>24</v>
      </c>
      <c r="J24" t="s">
        <v>974</v>
      </c>
      <c r="K24" t="s">
        <v>951</v>
      </c>
      <c r="L24">
        <v>3</v>
      </c>
      <c r="M24" t="s">
        <v>975</v>
      </c>
      <c r="N24" t="s">
        <v>976</v>
      </c>
      <c r="O24">
        <v>83.6</v>
      </c>
      <c r="P24">
        <f t="shared" si="1"/>
        <v>80.22999999999999</v>
      </c>
      <c r="Q24" t="s">
        <v>977</v>
      </c>
      <c r="R24">
        <v>11</v>
      </c>
      <c r="S24">
        <v>168</v>
      </c>
      <c r="T24" t="s">
        <v>978</v>
      </c>
    </row>
    <row r="25" spans="1:20" x14ac:dyDescent="0.35">
      <c r="A25">
        <v>1</v>
      </c>
      <c r="B25">
        <v>2</v>
      </c>
      <c r="C25" t="s">
        <v>961</v>
      </c>
      <c r="D25" t="s">
        <v>979</v>
      </c>
      <c r="E25" t="s">
        <v>22</v>
      </c>
      <c r="F25">
        <v>7</v>
      </c>
      <c r="H25" t="s">
        <v>23</v>
      </c>
      <c r="I25" t="s">
        <v>24</v>
      </c>
      <c r="J25" t="s">
        <v>980</v>
      </c>
      <c r="K25" t="s">
        <v>981</v>
      </c>
      <c r="L25">
        <v>3</v>
      </c>
      <c r="M25">
        <v>111</v>
      </c>
      <c r="N25" t="s">
        <v>895</v>
      </c>
      <c r="O25">
        <v>19.5</v>
      </c>
      <c r="P25">
        <f t="shared" si="1"/>
        <v>16.13</v>
      </c>
      <c r="Q25" t="s">
        <v>554</v>
      </c>
      <c r="R25">
        <v>4</v>
      </c>
      <c r="S25">
        <v>62</v>
      </c>
      <c r="T25" t="s">
        <v>498</v>
      </c>
    </row>
    <row r="26" spans="1:20" x14ac:dyDescent="0.35">
      <c r="A26">
        <v>1</v>
      </c>
      <c r="B26">
        <v>2</v>
      </c>
      <c r="C26" t="s">
        <v>961</v>
      </c>
      <c r="D26" t="s">
        <v>982</v>
      </c>
      <c r="E26" t="s">
        <v>22</v>
      </c>
      <c r="F26">
        <v>14</v>
      </c>
      <c r="H26" t="s">
        <v>23</v>
      </c>
      <c r="I26" t="s">
        <v>24</v>
      </c>
      <c r="J26" t="s">
        <v>983</v>
      </c>
      <c r="K26" t="s">
        <v>984</v>
      </c>
      <c r="L26">
        <v>3</v>
      </c>
      <c r="M26" t="s">
        <v>985</v>
      </c>
      <c r="N26">
        <v>50</v>
      </c>
      <c r="O26">
        <v>33.299999999999997</v>
      </c>
      <c r="P26">
        <f t="shared" si="1"/>
        <v>29.929999999999996</v>
      </c>
      <c r="Q26" t="s">
        <v>109</v>
      </c>
      <c r="R26">
        <v>4</v>
      </c>
      <c r="S26">
        <v>77</v>
      </c>
      <c r="T26" t="s">
        <v>949</v>
      </c>
    </row>
    <row r="27" spans="1:20" s="3" customFormat="1" x14ac:dyDescent="0.35">
      <c r="A27" s="3">
        <v>1</v>
      </c>
      <c r="B27" s="3">
        <v>2</v>
      </c>
      <c r="C27" s="3" t="s">
        <v>961</v>
      </c>
      <c r="D27" s="3" t="s">
        <v>986</v>
      </c>
      <c r="E27" s="3" t="s">
        <v>22</v>
      </c>
      <c r="H27" s="3" t="s">
        <v>23</v>
      </c>
      <c r="I27" s="3" t="s">
        <v>77</v>
      </c>
      <c r="J27" s="3" t="s">
        <v>78</v>
      </c>
      <c r="K27" s="3" t="s">
        <v>78</v>
      </c>
      <c r="L27" s="3">
        <v>3</v>
      </c>
      <c r="M27" s="3" t="s">
        <v>79</v>
      </c>
      <c r="N27" s="3" t="s">
        <v>80</v>
      </c>
      <c r="O27" s="3">
        <v>5.3</v>
      </c>
      <c r="P27" s="3">
        <f t="shared" si="1"/>
        <v>1.9299999999999997</v>
      </c>
      <c r="Q27" s="3">
        <v>7</v>
      </c>
      <c r="R27" s="3">
        <v>3</v>
      </c>
      <c r="S27" s="3">
        <v>168</v>
      </c>
      <c r="T27" s="3" t="s">
        <v>81</v>
      </c>
    </row>
    <row r="28" spans="1:20" x14ac:dyDescent="0.35">
      <c r="A28">
        <v>1</v>
      </c>
      <c r="B28">
        <v>2</v>
      </c>
      <c r="C28" t="s">
        <v>961</v>
      </c>
      <c r="D28" t="s">
        <v>987</v>
      </c>
      <c r="E28" t="s">
        <v>22</v>
      </c>
      <c r="F28">
        <v>16</v>
      </c>
      <c r="H28" t="s">
        <v>23</v>
      </c>
      <c r="I28" t="s">
        <v>24</v>
      </c>
      <c r="J28" t="s">
        <v>574</v>
      </c>
      <c r="K28" t="s">
        <v>988</v>
      </c>
      <c r="L28">
        <v>2</v>
      </c>
      <c r="M28">
        <v>144</v>
      </c>
      <c r="N28" t="s">
        <v>94</v>
      </c>
      <c r="O28">
        <v>18.899999999999999</v>
      </c>
      <c r="P28">
        <f t="shared" si="1"/>
        <v>15.529999999999998</v>
      </c>
      <c r="Q28" t="s">
        <v>679</v>
      </c>
      <c r="R28">
        <v>3</v>
      </c>
      <c r="S28">
        <v>51</v>
      </c>
      <c r="T28" t="s">
        <v>498</v>
      </c>
    </row>
    <row r="29" spans="1:20" x14ac:dyDescent="0.35">
      <c r="A29">
        <v>1</v>
      </c>
      <c r="B29">
        <v>2</v>
      </c>
      <c r="C29" t="s">
        <v>961</v>
      </c>
      <c r="D29" t="s">
        <v>989</v>
      </c>
      <c r="E29" t="s">
        <v>22</v>
      </c>
      <c r="F29">
        <v>3</v>
      </c>
      <c r="H29" t="s">
        <v>23</v>
      </c>
      <c r="I29" t="s">
        <v>24</v>
      </c>
      <c r="J29" t="s">
        <v>990</v>
      </c>
      <c r="K29">
        <v>29</v>
      </c>
      <c r="L29">
        <v>3</v>
      </c>
      <c r="M29" t="s">
        <v>773</v>
      </c>
      <c r="N29" t="s">
        <v>316</v>
      </c>
      <c r="O29">
        <v>31</v>
      </c>
      <c r="P29">
        <f t="shared" si="1"/>
        <v>27.63</v>
      </c>
      <c r="Q29" t="s">
        <v>991</v>
      </c>
      <c r="R29">
        <v>9</v>
      </c>
      <c r="S29">
        <v>68</v>
      </c>
      <c r="T29" t="s">
        <v>814</v>
      </c>
    </row>
    <row r="30" spans="1:20" x14ac:dyDescent="0.35">
      <c r="A30">
        <v>1</v>
      </c>
      <c r="B30">
        <v>2</v>
      </c>
      <c r="C30" t="s">
        <v>961</v>
      </c>
      <c r="D30" t="s">
        <v>992</v>
      </c>
      <c r="E30" t="s">
        <v>22</v>
      </c>
      <c r="F30">
        <v>15</v>
      </c>
      <c r="H30" t="s">
        <v>23</v>
      </c>
      <c r="I30" t="s">
        <v>24</v>
      </c>
      <c r="J30" t="s">
        <v>993</v>
      </c>
      <c r="K30" t="s">
        <v>994</v>
      </c>
      <c r="L30">
        <v>2</v>
      </c>
      <c r="M30" t="s">
        <v>995</v>
      </c>
      <c r="N30" t="s">
        <v>553</v>
      </c>
      <c r="O30">
        <v>14.1</v>
      </c>
      <c r="P30">
        <f t="shared" si="1"/>
        <v>10.73</v>
      </c>
      <c r="Q30">
        <v>6</v>
      </c>
      <c r="R30">
        <v>3</v>
      </c>
      <c r="S30">
        <v>38</v>
      </c>
      <c r="T30" t="s">
        <v>238</v>
      </c>
    </row>
    <row r="31" spans="1:20" x14ac:dyDescent="0.35">
      <c r="A31">
        <v>1</v>
      </c>
      <c r="B31">
        <v>2</v>
      </c>
      <c r="C31" t="s">
        <v>961</v>
      </c>
      <c r="D31" t="s">
        <v>996</v>
      </c>
      <c r="E31" t="s">
        <v>22</v>
      </c>
      <c r="F31">
        <v>2</v>
      </c>
      <c r="H31" t="s">
        <v>23</v>
      </c>
      <c r="I31" t="s">
        <v>24</v>
      </c>
      <c r="J31" t="s">
        <v>997</v>
      </c>
      <c r="K31" t="s">
        <v>220</v>
      </c>
      <c r="L31">
        <v>3</v>
      </c>
      <c r="M31" t="s">
        <v>998</v>
      </c>
      <c r="N31" t="s">
        <v>150</v>
      </c>
      <c r="O31">
        <v>18.100000000000001</v>
      </c>
      <c r="P31">
        <f t="shared" si="1"/>
        <v>14.73</v>
      </c>
      <c r="Q31" t="s">
        <v>268</v>
      </c>
      <c r="R31">
        <v>4</v>
      </c>
      <c r="S31">
        <v>39</v>
      </c>
      <c r="T31" t="s">
        <v>498</v>
      </c>
    </row>
    <row r="32" spans="1:20" s="3" customFormat="1" x14ac:dyDescent="0.35">
      <c r="A32" s="3">
        <v>1</v>
      </c>
      <c r="B32" s="3">
        <v>2</v>
      </c>
      <c r="C32" s="3" t="s">
        <v>961</v>
      </c>
      <c r="D32" s="3" t="s">
        <v>999</v>
      </c>
      <c r="E32" s="3" t="s">
        <v>22</v>
      </c>
      <c r="H32" s="3" t="s">
        <v>23</v>
      </c>
      <c r="I32" s="3" t="s">
        <v>77</v>
      </c>
      <c r="J32" s="3" t="s">
        <v>78</v>
      </c>
      <c r="K32" s="3" t="s">
        <v>78</v>
      </c>
      <c r="L32" s="3">
        <v>2</v>
      </c>
      <c r="M32" s="3" t="s">
        <v>79</v>
      </c>
      <c r="N32" s="3" t="s">
        <v>80</v>
      </c>
      <c r="O32" s="3">
        <v>5.0999999999999996</v>
      </c>
      <c r="P32" s="3">
        <f t="shared" si="1"/>
        <v>1.7299999999999995</v>
      </c>
      <c r="Q32" s="3" t="s">
        <v>252</v>
      </c>
      <c r="R32" s="3">
        <v>3</v>
      </c>
      <c r="S32" s="3">
        <v>120</v>
      </c>
      <c r="T32" s="3" t="s">
        <v>81</v>
      </c>
    </row>
    <row r="33" spans="1:20" x14ac:dyDescent="0.35">
      <c r="A33">
        <v>1</v>
      </c>
      <c r="B33">
        <v>2</v>
      </c>
      <c r="C33" t="s">
        <v>961</v>
      </c>
      <c r="D33" t="s">
        <v>1000</v>
      </c>
      <c r="E33" t="s">
        <v>22</v>
      </c>
      <c r="F33">
        <v>11</v>
      </c>
      <c r="H33" t="s">
        <v>23</v>
      </c>
      <c r="I33" t="s">
        <v>24</v>
      </c>
      <c r="J33" t="s">
        <v>45</v>
      </c>
      <c r="K33" t="s">
        <v>1001</v>
      </c>
      <c r="L33">
        <v>3</v>
      </c>
      <c r="M33" t="s">
        <v>562</v>
      </c>
      <c r="N33" t="s">
        <v>68</v>
      </c>
      <c r="O33">
        <v>11.2</v>
      </c>
      <c r="P33">
        <f t="shared" si="1"/>
        <v>7.8299999999999992</v>
      </c>
      <c r="Q33" t="s">
        <v>220</v>
      </c>
      <c r="R33">
        <v>3</v>
      </c>
      <c r="S33">
        <v>33</v>
      </c>
      <c r="T33" t="s">
        <v>109</v>
      </c>
    </row>
    <row r="34" spans="1:20" x14ac:dyDescent="0.35">
      <c r="A34">
        <v>1</v>
      </c>
      <c r="B34">
        <v>2</v>
      </c>
      <c r="C34" t="s">
        <v>961</v>
      </c>
      <c r="D34" t="s">
        <v>1002</v>
      </c>
      <c r="E34" t="s">
        <v>22</v>
      </c>
      <c r="F34">
        <v>4</v>
      </c>
      <c r="H34" t="s">
        <v>23</v>
      </c>
      <c r="I34" t="s">
        <v>24</v>
      </c>
      <c r="J34" t="s">
        <v>104</v>
      </c>
      <c r="K34" t="s">
        <v>609</v>
      </c>
      <c r="L34">
        <v>3</v>
      </c>
      <c r="M34" t="s">
        <v>767</v>
      </c>
      <c r="N34" t="s">
        <v>788</v>
      </c>
      <c r="O34">
        <v>29.6</v>
      </c>
      <c r="P34">
        <f t="shared" si="1"/>
        <v>26.23</v>
      </c>
      <c r="Q34" t="s">
        <v>702</v>
      </c>
      <c r="R34">
        <v>3</v>
      </c>
      <c r="S34">
        <v>74</v>
      </c>
      <c r="T34" t="s">
        <v>290</v>
      </c>
    </row>
    <row r="35" spans="1:20" x14ac:dyDescent="0.35">
      <c r="A35">
        <v>1</v>
      </c>
      <c r="B35">
        <v>2</v>
      </c>
      <c r="C35" t="s">
        <v>961</v>
      </c>
      <c r="D35" t="s">
        <v>1003</v>
      </c>
      <c r="E35" t="s">
        <v>22</v>
      </c>
      <c r="F35">
        <v>8</v>
      </c>
      <c r="H35" t="s">
        <v>23</v>
      </c>
      <c r="I35" t="s">
        <v>24</v>
      </c>
      <c r="J35" t="s">
        <v>1004</v>
      </c>
      <c r="K35" t="s">
        <v>882</v>
      </c>
      <c r="L35">
        <v>3</v>
      </c>
      <c r="M35" t="s">
        <v>1005</v>
      </c>
      <c r="N35" t="s">
        <v>1006</v>
      </c>
      <c r="O35">
        <v>28.4</v>
      </c>
      <c r="P35">
        <f t="shared" si="1"/>
        <v>25.029999999999998</v>
      </c>
      <c r="Q35" t="s">
        <v>198</v>
      </c>
      <c r="R35">
        <v>4</v>
      </c>
      <c r="S35">
        <v>70</v>
      </c>
      <c r="T35" t="s">
        <v>586</v>
      </c>
    </row>
    <row r="36" spans="1:20" x14ac:dyDescent="0.35">
      <c r="A36">
        <v>1</v>
      </c>
      <c r="B36">
        <v>2</v>
      </c>
      <c r="C36" t="s">
        <v>961</v>
      </c>
      <c r="D36" t="s">
        <v>1007</v>
      </c>
      <c r="E36" t="s">
        <v>22</v>
      </c>
      <c r="F36">
        <v>12</v>
      </c>
      <c r="H36" t="s">
        <v>23</v>
      </c>
      <c r="I36" t="s">
        <v>24</v>
      </c>
      <c r="J36" t="s">
        <v>1008</v>
      </c>
      <c r="K36" t="s">
        <v>1009</v>
      </c>
      <c r="L36">
        <v>3</v>
      </c>
      <c r="M36" t="s">
        <v>1010</v>
      </c>
      <c r="N36" t="s">
        <v>354</v>
      </c>
      <c r="O36">
        <v>14.9</v>
      </c>
      <c r="P36">
        <f t="shared" si="1"/>
        <v>11.530000000000001</v>
      </c>
      <c r="Q36" t="s">
        <v>1011</v>
      </c>
      <c r="R36">
        <v>3</v>
      </c>
      <c r="S36">
        <v>42</v>
      </c>
      <c r="T36" t="s">
        <v>253</v>
      </c>
    </row>
    <row r="37" spans="1:20" x14ac:dyDescent="0.35">
      <c r="A37">
        <v>1</v>
      </c>
      <c r="B37">
        <v>2</v>
      </c>
      <c r="C37" t="s">
        <v>961</v>
      </c>
      <c r="D37" t="s">
        <v>1012</v>
      </c>
      <c r="E37" t="s">
        <v>22</v>
      </c>
      <c r="F37">
        <v>6</v>
      </c>
      <c r="H37" t="s">
        <v>23</v>
      </c>
      <c r="I37" t="s">
        <v>24</v>
      </c>
      <c r="J37" t="s">
        <v>782</v>
      </c>
      <c r="K37" t="s">
        <v>956</v>
      </c>
      <c r="L37">
        <v>2</v>
      </c>
      <c r="M37" t="s">
        <v>278</v>
      </c>
      <c r="N37" t="s">
        <v>869</v>
      </c>
      <c r="O37">
        <v>27.1</v>
      </c>
      <c r="P37">
        <f t="shared" si="1"/>
        <v>23.73</v>
      </c>
      <c r="Q37" t="s">
        <v>563</v>
      </c>
      <c r="R37">
        <v>7</v>
      </c>
      <c r="S37">
        <v>70</v>
      </c>
      <c r="T37" t="s">
        <v>580</v>
      </c>
    </row>
    <row r="39" spans="1:20" x14ac:dyDescent="0.35">
      <c r="C39" t="s">
        <v>2</v>
      </c>
      <c r="D39" t="s">
        <v>3</v>
      </c>
      <c r="E39" t="s">
        <v>4</v>
      </c>
      <c r="F39" t="s">
        <v>5</v>
      </c>
      <c r="G39" t="s">
        <v>6</v>
      </c>
      <c r="H39" t="s">
        <v>7</v>
      </c>
      <c r="I39" t="s">
        <v>8</v>
      </c>
      <c r="J39" t="s">
        <v>9</v>
      </c>
      <c r="K39" t="s">
        <v>10</v>
      </c>
      <c r="L39" t="s">
        <v>11</v>
      </c>
      <c r="M39" t="s">
        <v>12</v>
      </c>
      <c r="N39" t="s">
        <v>13</v>
      </c>
      <c r="O39" t="s">
        <v>14</v>
      </c>
      <c r="Q39" t="s">
        <v>16</v>
      </c>
      <c r="R39" t="s">
        <v>17</v>
      </c>
      <c r="S39" t="s">
        <v>18</v>
      </c>
      <c r="T39" t="s">
        <v>19</v>
      </c>
    </row>
    <row r="40" spans="1:20" x14ac:dyDescent="0.35">
      <c r="A40">
        <v>2</v>
      </c>
      <c r="B40">
        <v>1</v>
      </c>
      <c r="C40" t="s">
        <v>1013</v>
      </c>
      <c r="D40" t="s">
        <v>1014</v>
      </c>
      <c r="E40" t="s">
        <v>22</v>
      </c>
      <c r="F40">
        <v>8</v>
      </c>
      <c r="H40" t="s">
        <v>23</v>
      </c>
      <c r="I40" t="s">
        <v>24</v>
      </c>
      <c r="J40" t="s">
        <v>671</v>
      </c>
      <c r="K40" t="s">
        <v>1015</v>
      </c>
      <c r="L40">
        <v>2</v>
      </c>
      <c r="M40" t="s">
        <v>1016</v>
      </c>
      <c r="N40" t="s">
        <v>1017</v>
      </c>
      <c r="O40">
        <v>42.1</v>
      </c>
      <c r="P40">
        <f t="shared" ref="P40:P57" si="2">O40-$O$114</f>
        <v>38.730000000000004</v>
      </c>
      <c r="Q40" t="s">
        <v>1018</v>
      </c>
      <c r="R40">
        <v>7</v>
      </c>
      <c r="S40">
        <v>91</v>
      </c>
      <c r="T40" t="s">
        <v>672</v>
      </c>
    </row>
    <row r="41" spans="1:20" x14ac:dyDescent="0.35">
      <c r="A41">
        <v>2</v>
      </c>
      <c r="B41">
        <v>1</v>
      </c>
      <c r="C41" t="s">
        <v>1013</v>
      </c>
      <c r="D41" t="s">
        <v>1019</v>
      </c>
      <c r="E41" t="s">
        <v>22</v>
      </c>
      <c r="F41">
        <v>12</v>
      </c>
      <c r="H41" t="s">
        <v>23</v>
      </c>
      <c r="I41" t="s">
        <v>24</v>
      </c>
      <c r="J41" t="s">
        <v>1020</v>
      </c>
      <c r="K41">
        <v>163</v>
      </c>
      <c r="L41">
        <v>3</v>
      </c>
      <c r="M41" t="s">
        <v>1021</v>
      </c>
      <c r="N41" t="s">
        <v>1022</v>
      </c>
      <c r="O41">
        <v>20.7</v>
      </c>
      <c r="P41">
        <f t="shared" si="2"/>
        <v>17.329999999999998</v>
      </c>
      <c r="Q41" t="s">
        <v>426</v>
      </c>
      <c r="R41">
        <v>4</v>
      </c>
      <c r="S41">
        <v>57</v>
      </c>
      <c r="T41" t="s">
        <v>619</v>
      </c>
    </row>
    <row r="42" spans="1:20" x14ac:dyDescent="0.35">
      <c r="A42">
        <v>2</v>
      </c>
      <c r="B42">
        <v>1</v>
      </c>
      <c r="C42" t="s">
        <v>1013</v>
      </c>
      <c r="D42" t="s">
        <v>1023</v>
      </c>
      <c r="E42" t="s">
        <v>22</v>
      </c>
      <c r="F42">
        <v>11</v>
      </c>
      <c r="H42" t="s">
        <v>23</v>
      </c>
      <c r="I42" t="s">
        <v>24</v>
      </c>
      <c r="J42" t="s">
        <v>920</v>
      </c>
      <c r="K42" t="s">
        <v>1024</v>
      </c>
      <c r="L42">
        <v>3</v>
      </c>
      <c r="M42" t="s">
        <v>1025</v>
      </c>
      <c r="N42" t="s">
        <v>1026</v>
      </c>
      <c r="O42">
        <v>22.1</v>
      </c>
      <c r="P42">
        <f t="shared" si="2"/>
        <v>18.73</v>
      </c>
      <c r="Q42" t="s">
        <v>679</v>
      </c>
      <c r="R42">
        <v>4</v>
      </c>
      <c r="S42">
        <v>52</v>
      </c>
      <c r="T42" t="s">
        <v>531</v>
      </c>
    </row>
    <row r="43" spans="1:20" x14ac:dyDescent="0.35">
      <c r="A43">
        <v>2</v>
      </c>
      <c r="B43">
        <v>1</v>
      </c>
      <c r="C43" t="s">
        <v>1013</v>
      </c>
      <c r="D43" t="s">
        <v>1027</v>
      </c>
      <c r="E43" t="s">
        <v>22</v>
      </c>
      <c r="F43">
        <v>11</v>
      </c>
      <c r="H43" t="s">
        <v>23</v>
      </c>
      <c r="I43" t="s">
        <v>24</v>
      </c>
      <c r="J43" t="s">
        <v>1028</v>
      </c>
      <c r="K43" t="s">
        <v>1029</v>
      </c>
      <c r="L43">
        <v>1</v>
      </c>
      <c r="M43" t="s">
        <v>868</v>
      </c>
      <c r="N43" t="s">
        <v>26</v>
      </c>
      <c r="O43">
        <v>28.1</v>
      </c>
      <c r="P43">
        <f t="shared" si="2"/>
        <v>24.73</v>
      </c>
      <c r="Q43" t="s">
        <v>991</v>
      </c>
      <c r="R43">
        <v>0</v>
      </c>
      <c r="S43">
        <v>63</v>
      </c>
      <c r="T43" t="s">
        <v>586</v>
      </c>
    </row>
    <row r="44" spans="1:20" x14ac:dyDescent="0.35">
      <c r="A44">
        <v>2</v>
      </c>
      <c r="B44">
        <v>1</v>
      </c>
      <c r="C44" t="s">
        <v>1013</v>
      </c>
      <c r="D44" t="s">
        <v>1030</v>
      </c>
      <c r="E44" t="s">
        <v>22</v>
      </c>
      <c r="F44">
        <v>9</v>
      </c>
      <c r="H44" t="s">
        <v>23</v>
      </c>
      <c r="I44" t="s">
        <v>24</v>
      </c>
      <c r="J44" t="s">
        <v>920</v>
      </c>
      <c r="K44">
        <v>158</v>
      </c>
      <c r="L44">
        <v>1</v>
      </c>
      <c r="M44">
        <v>133</v>
      </c>
      <c r="N44" t="s">
        <v>900</v>
      </c>
      <c r="O44">
        <v>32.799999999999997</v>
      </c>
      <c r="P44">
        <f t="shared" si="2"/>
        <v>29.429999999999996</v>
      </c>
      <c r="Q44" t="s">
        <v>730</v>
      </c>
      <c r="R44">
        <v>3</v>
      </c>
      <c r="S44">
        <v>83</v>
      </c>
      <c r="T44" t="s">
        <v>692</v>
      </c>
    </row>
    <row r="45" spans="1:20" x14ac:dyDescent="0.35">
      <c r="A45">
        <v>2</v>
      </c>
      <c r="B45">
        <v>1</v>
      </c>
      <c r="C45" t="s">
        <v>1013</v>
      </c>
      <c r="D45" t="s">
        <v>1031</v>
      </c>
      <c r="E45" t="s">
        <v>22</v>
      </c>
      <c r="F45">
        <v>7</v>
      </c>
      <c r="H45" t="s">
        <v>23</v>
      </c>
      <c r="I45" t="s">
        <v>24</v>
      </c>
      <c r="J45">
        <v>179</v>
      </c>
      <c r="K45" t="s">
        <v>1032</v>
      </c>
      <c r="L45">
        <v>2</v>
      </c>
      <c r="M45" t="s">
        <v>1033</v>
      </c>
      <c r="N45" t="s">
        <v>1034</v>
      </c>
      <c r="O45">
        <v>28.5</v>
      </c>
      <c r="P45">
        <f t="shared" si="2"/>
        <v>25.13</v>
      </c>
      <c r="Q45" t="s">
        <v>519</v>
      </c>
      <c r="R45">
        <v>0</v>
      </c>
      <c r="S45">
        <v>62</v>
      </c>
      <c r="T45" t="s">
        <v>586</v>
      </c>
    </row>
    <row r="46" spans="1:20" x14ac:dyDescent="0.35">
      <c r="A46">
        <v>2</v>
      </c>
      <c r="B46">
        <v>1</v>
      </c>
      <c r="C46" t="s">
        <v>1013</v>
      </c>
      <c r="D46" t="s">
        <v>1035</v>
      </c>
      <c r="E46" t="s">
        <v>22</v>
      </c>
      <c r="F46">
        <v>4</v>
      </c>
      <c r="H46" t="s">
        <v>23</v>
      </c>
      <c r="I46" t="s">
        <v>24</v>
      </c>
      <c r="J46" t="s">
        <v>1036</v>
      </c>
      <c r="K46" t="s">
        <v>1037</v>
      </c>
      <c r="L46">
        <v>3</v>
      </c>
      <c r="M46" t="s">
        <v>1038</v>
      </c>
      <c r="N46" t="s">
        <v>1039</v>
      </c>
      <c r="O46">
        <v>16.100000000000001</v>
      </c>
      <c r="P46">
        <f t="shared" si="2"/>
        <v>12.73</v>
      </c>
      <c r="Q46" t="s">
        <v>514</v>
      </c>
      <c r="R46">
        <v>3</v>
      </c>
      <c r="S46">
        <v>44</v>
      </c>
      <c r="T46" t="s">
        <v>528</v>
      </c>
    </row>
    <row r="47" spans="1:20" s="3" customFormat="1" x14ac:dyDescent="0.35">
      <c r="A47" s="3">
        <v>2</v>
      </c>
      <c r="B47" s="3">
        <v>1</v>
      </c>
      <c r="C47" s="3" t="s">
        <v>1013</v>
      </c>
      <c r="D47" s="3" t="s">
        <v>1040</v>
      </c>
      <c r="E47" s="3" t="s">
        <v>22</v>
      </c>
      <c r="H47" s="3" t="s">
        <v>23</v>
      </c>
      <c r="I47" s="3" t="s">
        <v>77</v>
      </c>
      <c r="J47" s="3" t="s">
        <v>78</v>
      </c>
      <c r="K47" s="3" t="s">
        <v>78</v>
      </c>
      <c r="L47" s="3">
        <v>1</v>
      </c>
      <c r="M47" s="3" t="s">
        <v>79</v>
      </c>
      <c r="N47" s="3" t="s">
        <v>80</v>
      </c>
      <c r="O47" s="3">
        <v>5.2</v>
      </c>
      <c r="P47" s="3">
        <f t="shared" si="2"/>
        <v>1.83</v>
      </c>
      <c r="Q47" s="3" t="s">
        <v>48</v>
      </c>
      <c r="R47" s="3">
        <v>3</v>
      </c>
      <c r="S47" s="3">
        <v>158</v>
      </c>
      <c r="T47" s="3" t="s">
        <v>81</v>
      </c>
    </row>
    <row r="48" spans="1:20" x14ac:dyDescent="0.35">
      <c r="A48">
        <v>2</v>
      </c>
      <c r="B48">
        <v>1</v>
      </c>
      <c r="C48" t="s">
        <v>1013</v>
      </c>
      <c r="D48" t="s">
        <v>1041</v>
      </c>
      <c r="E48" t="s">
        <v>22</v>
      </c>
      <c r="F48">
        <v>1</v>
      </c>
      <c r="H48" t="s">
        <v>23</v>
      </c>
      <c r="I48" t="s">
        <v>24</v>
      </c>
      <c r="J48" t="s">
        <v>1042</v>
      </c>
      <c r="K48" t="s">
        <v>1043</v>
      </c>
      <c r="L48">
        <v>3</v>
      </c>
      <c r="M48" t="s">
        <v>1044</v>
      </c>
      <c r="N48" t="s">
        <v>398</v>
      </c>
      <c r="O48">
        <v>38.6</v>
      </c>
      <c r="P48">
        <f t="shared" si="2"/>
        <v>35.230000000000004</v>
      </c>
      <c r="Q48" t="s">
        <v>1045</v>
      </c>
      <c r="R48">
        <v>8</v>
      </c>
      <c r="S48">
        <v>78</v>
      </c>
      <c r="T48" t="s">
        <v>459</v>
      </c>
    </row>
    <row r="49" spans="1:20" s="3" customFormat="1" x14ac:dyDescent="0.35">
      <c r="A49" s="3">
        <v>2</v>
      </c>
      <c r="B49" s="3">
        <v>1</v>
      </c>
      <c r="C49" s="3" t="s">
        <v>1013</v>
      </c>
      <c r="D49" s="3" t="s">
        <v>1046</v>
      </c>
      <c r="E49" s="3" t="s">
        <v>22</v>
      </c>
      <c r="H49" s="3" t="s">
        <v>23</v>
      </c>
      <c r="I49" s="3" t="s">
        <v>77</v>
      </c>
      <c r="J49" s="3" t="s">
        <v>78</v>
      </c>
      <c r="K49" s="3" t="s">
        <v>78</v>
      </c>
      <c r="L49" s="3">
        <v>3</v>
      </c>
      <c r="M49" s="3" t="s">
        <v>79</v>
      </c>
      <c r="N49" s="3" t="s">
        <v>80</v>
      </c>
      <c r="O49" s="3">
        <v>5.0999999999999996</v>
      </c>
      <c r="P49" s="3">
        <f t="shared" si="2"/>
        <v>1.7299999999999995</v>
      </c>
      <c r="Q49" s="3" t="s">
        <v>1047</v>
      </c>
      <c r="R49" s="3">
        <v>3</v>
      </c>
      <c r="S49" s="3">
        <v>230</v>
      </c>
      <c r="T49" s="3" t="s">
        <v>81</v>
      </c>
    </row>
    <row r="50" spans="1:20" x14ac:dyDescent="0.35">
      <c r="A50">
        <v>2</v>
      </c>
      <c r="B50">
        <v>1</v>
      </c>
      <c r="C50" t="s">
        <v>1013</v>
      </c>
      <c r="D50" t="s">
        <v>1048</v>
      </c>
      <c r="E50" t="s">
        <v>22</v>
      </c>
      <c r="F50">
        <v>4</v>
      </c>
      <c r="H50" t="s">
        <v>23</v>
      </c>
      <c r="I50" t="s">
        <v>24</v>
      </c>
      <c r="J50" t="s">
        <v>427</v>
      </c>
      <c r="K50" t="s">
        <v>1049</v>
      </c>
      <c r="L50">
        <v>1</v>
      </c>
      <c r="M50" t="s">
        <v>1050</v>
      </c>
      <c r="N50" t="s">
        <v>572</v>
      </c>
      <c r="O50">
        <v>28.8</v>
      </c>
      <c r="P50">
        <f t="shared" si="2"/>
        <v>25.43</v>
      </c>
      <c r="Q50" t="s">
        <v>1051</v>
      </c>
      <c r="R50">
        <v>3</v>
      </c>
      <c r="S50">
        <v>69</v>
      </c>
      <c r="T50" t="s">
        <v>586</v>
      </c>
    </row>
    <row r="51" spans="1:20" x14ac:dyDescent="0.35">
      <c r="A51">
        <v>2</v>
      </c>
      <c r="B51">
        <v>1</v>
      </c>
      <c r="C51" t="s">
        <v>1013</v>
      </c>
      <c r="D51" t="s">
        <v>1052</v>
      </c>
      <c r="E51" t="s">
        <v>22</v>
      </c>
      <c r="F51">
        <v>2</v>
      </c>
      <c r="H51" t="s">
        <v>23</v>
      </c>
      <c r="I51" t="s">
        <v>24</v>
      </c>
      <c r="J51" t="s">
        <v>1053</v>
      </c>
      <c r="K51">
        <v>31</v>
      </c>
      <c r="L51">
        <v>2</v>
      </c>
      <c r="M51" t="s">
        <v>1054</v>
      </c>
      <c r="N51" t="s">
        <v>946</v>
      </c>
      <c r="O51">
        <v>37.200000000000003</v>
      </c>
      <c r="P51">
        <f t="shared" si="2"/>
        <v>33.830000000000005</v>
      </c>
      <c r="Q51" t="s">
        <v>326</v>
      </c>
      <c r="R51">
        <v>6</v>
      </c>
      <c r="S51">
        <v>91</v>
      </c>
      <c r="T51" t="s">
        <v>697</v>
      </c>
    </row>
    <row r="52" spans="1:20" x14ac:dyDescent="0.35">
      <c r="A52">
        <v>2</v>
      </c>
      <c r="B52">
        <v>1</v>
      </c>
      <c r="C52" t="s">
        <v>1013</v>
      </c>
      <c r="D52" t="s">
        <v>1055</v>
      </c>
      <c r="E52" t="s">
        <v>22</v>
      </c>
      <c r="F52">
        <v>10</v>
      </c>
      <c r="H52" t="s">
        <v>23</v>
      </c>
      <c r="I52" t="s">
        <v>24</v>
      </c>
      <c r="J52" t="s">
        <v>1020</v>
      </c>
      <c r="K52" t="s">
        <v>1056</v>
      </c>
      <c r="L52">
        <v>1</v>
      </c>
      <c r="M52" t="s">
        <v>1057</v>
      </c>
      <c r="N52" t="s">
        <v>1058</v>
      </c>
      <c r="O52">
        <v>27.9</v>
      </c>
      <c r="P52">
        <f t="shared" si="2"/>
        <v>24.529999999999998</v>
      </c>
      <c r="Q52" t="s">
        <v>1059</v>
      </c>
      <c r="R52">
        <v>4</v>
      </c>
      <c r="S52">
        <v>91</v>
      </c>
      <c r="T52" t="s">
        <v>143</v>
      </c>
    </row>
    <row r="53" spans="1:20" s="3" customFormat="1" x14ac:dyDescent="0.35">
      <c r="A53" s="3">
        <v>2</v>
      </c>
      <c r="B53" s="3">
        <v>1</v>
      </c>
      <c r="C53" s="3" t="s">
        <v>1013</v>
      </c>
      <c r="D53" s="3" t="s">
        <v>1060</v>
      </c>
      <c r="E53" s="3" t="s">
        <v>22</v>
      </c>
      <c r="H53" s="3" t="s">
        <v>23</v>
      </c>
      <c r="I53" s="3" t="s">
        <v>77</v>
      </c>
      <c r="J53" s="3" t="s">
        <v>78</v>
      </c>
      <c r="K53" s="3" t="s">
        <v>78</v>
      </c>
      <c r="L53" s="3">
        <v>2</v>
      </c>
      <c r="M53" s="3" t="s">
        <v>79</v>
      </c>
      <c r="N53" s="3" t="s">
        <v>80</v>
      </c>
      <c r="O53" s="3">
        <v>5.4</v>
      </c>
      <c r="P53" s="3">
        <f t="shared" si="2"/>
        <v>2.0300000000000002</v>
      </c>
      <c r="Q53" s="3" t="s">
        <v>765</v>
      </c>
      <c r="R53" s="3">
        <v>3</v>
      </c>
      <c r="S53" s="3">
        <v>242</v>
      </c>
      <c r="T53" s="3" t="s">
        <v>81</v>
      </c>
    </row>
    <row r="54" spans="1:20" x14ac:dyDescent="0.35">
      <c r="A54">
        <v>2</v>
      </c>
      <c r="B54">
        <v>1</v>
      </c>
      <c r="C54" t="s">
        <v>1013</v>
      </c>
      <c r="D54" t="s">
        <v>1061</v>
      </c>
      <c r="E54" t="s">
        <v>22</v>
      </c>
      <c r="F54">
        <v>3</v>
      </c>
      <c r="H54" t="s">
        <v>23</v>
      </c>
      <c r="I54" t="s">
        <v>24</v>
      </c>
      <c r="J54" t="s">
        <v>103</v>
      </c>
      <c r="K54" t="s">
        <v>104</v>
      </c>
      <c r="L54">
        <v>3</v>
      </c>
      <c r="M54" t="s">
        <v>1062</v>
      </c>
      <c r="N54" t="s">
        <v>335</v>
      </c>
      <c r="O54">
        <v>24.6</v>
      </c>
      <c r="P54">
        <f t="shared" si="2"/>
        <v>21.23</v>
      </c>
      <c r="Q54" t="s">
        <v>1063</v>
      </c>
      <c r="R54">
        <v>3</v>
      </c>
      <c r="S54">
        <v>77</v>
      </c>
      <c r="T54" t="s">
        <v>531</v>
      </c>
    </row>
    <row r="55" spans="1:20" x14ac:dyDescent="0.35">
      <c r="A55">
        <v>2</v>
      </c>
      <c r="B55">
        <v>1</v>
      </c>
      <c r="C55" t="s">
        <v>1013</v>
      </c>
      <c r="D55" t="s">
        <v>1064</v>
      </c>
      <c r="E55" t="s">
        <v>22</v>
      </c>
      <c r="F55">
        <v>8</v>
      </c>
      <c r="H55" t="s">
        <v>23</v>
      </c>
      <c r="I55" t="s">
        <v>24</v>
      </c>
      <c r="J55" t="s">
        <v>1065</v>
      </c>
      <c r="K55" t="s">
        <v>985</v>
      </c>
      <c r="L55">
        <v>1</v>
      </c>
      <c r="M55">
        <v>61</v>
      </c>
      <c r="N55" t="s">
        <v>1066</v>
      </c>
      <c r="O55">
        <v>21.9</v>
      </c>
      <c r="P55">
        <f t="shared" si="2"/>
        <v>18.529999999999998</v>
      </c>
      <c r="Q55">
        <v>8</v>
      </c>
      <c r="R55">
        <v>4</v>
      </c>
      <c r="S55">
        <v>52</v>
      </c>
      <c r="T55" t="s">
        <v>531</v>
      </c>
    </row>
    <row r="56" spans="1:20" x14ac:dyDescent="0.35">
      <c r="A56">
        <v>2</v>
      </c>
      <c r="B56">
        <v>1</v>
      </c>
      <c r="C56" t="s">
        <v>1013</v>
      </c>
      <c r="D56" t="s">
        <v>1067</v>
      </c>
      <c r="E56" t="s">
        <v>22</v>
      </c>
      <c r="F56">
        <v>9</v>
      </c>
      <c r="H56" t="s">
        <v>23</v>
      </c>
      <c r="I56" t="s">
        <v>24</v>
      </c>
      <c r="J56">
        <v>98</v>
      </c>
      <c r="K56" t="s">
        <v>603</v>
      </c>
      <c r="L56">
        <v>3</v>
      </c>
      <c r="M56" t="s">
        <v>1068</v>
      </c>
      <c r="N56" t="s">
        <v>267</v>
      </c>
      <c r="O56">
        <v>15.7</v>
      </c>
      <c r="P56">
        <f t="shared" si="2"/>
        <v>12.329999999999998</v>
      </c>
      <c r="Q56" t="s">
        <v>1069</v>
      </c>
      <c r="R56">
        <v>3</v>
      </c>
      <c r="S56">
        <v>51</v>
      </c>
      <c r="T56" t="s">
        <v>326</v>
      </c>
    </row>
    <row r="57" spans="1:20" x14ac:dyDescent="0.35">
      <c r="A57">
        <v>2</v>
      </c>
      <c r="B57">
        <v>1</v>
      </c>
      <c r="C57" t="s">
        <v>1013</v>
      </c>
      <c r="D57" t="s">
        <v>1070</v>
      </c>
      <c r="E57" t="s">
        <v>22</v>
      </c>
      <c r="F57">
        <v>6</v>
      </c>
      <c r="H57" t="s">
        <v>23</v>
      </c>
      <c r="I57" t="s">
        <v>24</v>
      </c>
      <c r="J57" t="s">
        <v>1071</v>
      </c>
      <c r="K57" t="s">
        <v>1072</v>
      </c>
      <c r="L57">
        <v>2</v>
      </c>
      <c r="M57" t="s">
        <v>510</v>
      </c>
      <c r="N57" t="s">
        <v>377</v>
      </c>
      <c r="O57">
        <v>21.7</v>
      </c>
      <c r="P57">
        <f t="shared" si="2"/>
        <v>18.329999999999998</v>
      </c>
      <c r="Q57" t="s">
        <v>30</v>
      </c>
      <c r="R57">
        <v>4</v>
      </c>
      <c r="S57">
        <v>49</v>
      </c>
      <c r="T57" t="s">
        <v>555</v>
      </c>
    </row>
    <row r="59" spans="1:20" x14ac:dyDescent="0.35">
      <c r="C59" t="s">
        <v>2</v>
      </c>
      <c r="D59" t="s">
        <v>3</v>
      </c>
      <c r="E59" t="s">
        <v>4</v>
      </c>
      <c r="F59" t="s">
        <v>5</v>
      </c>
      <c r="G59" t="s">
        <v>6</v>
      </c>
      <c r="H59" t="s">
        <v>7</v>
      </c>
      <c r="I59" t="s">
        <v>8</v>
      </c>
      <c r="J59" t="s">
        <v>9</v>
      </c>
      <c r="K59" t="s">
        <v>10</v>
      </c>
      <c r="L59" t="s">
        <v>11</v>
      </c>
      <c r="M59" t="s">
        <v>12</v>
      </c>
      <c r="N59" t="s">
        <v>13</v>
      </c>
      <c r="O59" t="s">
        <v>14</v>
      </c>
      <c r="Q59" t="s">
        <v>16</v>
      </c>
      <c r="R59" t="s">
        <v>17</v>
      </c>
      <c r="S59" t="s">
        <v>18</v>
      </c>
      <c r="T59" t="s">
        <v>19</v>
      </c>
    </row>
    <row r="60" spans="1:20" x14ac:dyDescent="0.35">
      <c r="A60">
        <v>2</v>
      </c>
      <c r="B60">
        <v>2</v>
      </c>
      <c r="C60" t="s">
        <v>1073</v>
      </c>
      <c r="D60" t="s">
        <v>1074</v>
      </c>
      <c r="E60" t="s">
        <v>22</v>
      </c>
      <c r="F60">
        <v>1</v>
      </c>
      <c r="H60" t="s">
        <v>23</v>
      </c>
      <c r="I60" t="s">
        <v>24</v>
      </c>
      <c r="J60" t="s">
        <v>1075</v>
      </c>
      <c r="K60" t="s">
        <v>1076</v>
      </c>
      <c r="L60">
        <v>3</v>
      </c>
      <c r="M60" t="s">
        <v>347</v>
      </c>
      <c r="N60" t="s">
        <v>631</v>
      </c>
      <c r="O60">
        <v>27.8</v>
      </c>
      <c r="P60">
        <f t="shared" ref="P60:P73" si="3">O60-$O$114</f>
        <v>24.43</v>
      </c>
      <c r="Q60" t="s">
        <v>1077</v>
      </c>
      <c r="R60">
        <v>6</v>
      </c>
      <c r="S60">
        <v>83</v>
      </c>
      <c r="T60" t="s">
        <v>580</v>
      </c>
    </row>
    <row r="61" spans="1:20" x14ac:dyDescent="0.35">
      <c r="A61">
        <v>2</v>
      </c>
      <c r="B61">
        <v>2</v>
      </c>
      <c r="C61" t="s">
        <v>1073</v>
      </c>
      <c r="D61" t="s">
        <v>1078</v>
      </c>
      <c r="E61" t="s">
        <v>22</v>
      </c>
      <c r="F61">
        <v>5</v>
      </c>
      <c r="H61" t="s">
        <v>23</v>
      </c>
      <c r="I61" t="s">
        <v>24</v>
      </c>
      <c r="J61" t="s">
        <v>551</v>
      </c>
      <c r="K61" t="s">
        <v>911</v>
      </c>
      <c r="L61">
        <v>3</v>
      </c>
      <c r="M61" t="s">
        <v>1079</v>
      </c>
      <c r="N61" t="s">
        <v>1080</v>
      </c>
      <c r="O61">
        <v>15.1</v>
      </c>
      <c r="P61">
        <f t="shared" si="3"/>
        <v>11.73</v>
      </c>
      <c r="Q61" t="s">
        <v>458</v>
      </c>
      <c r="R61">
        <v>3</v>
      </c>
      <c r="S61">
        <v>37</v>
      </c>
      <c r="T61" t="s">
        <v>326</v>
      </c>
    </row>
    <row r="62" spans="1:20" s="3" customFormat="1" x14ac:dyDescent="0.35">
      <c r="A62" s="3">
        <v>2</v>
      </c>
      <c r="B62" s="3">
        <v>2</v>
      </c>
      <c r="C62" s="3" t="s">
        <v>1073</v>
      </c>
      <c r="D62" s="5" t="s">
        <v>1081</v>
      </c>
      <c r="E62" s="3" t="s">
        <v>22</v>
      </c>
      <c r="H62" s="3" t="s">
        <v>23</v>
      </c>
      <c r="I62" s="3" t="s">
        <v>77</v>
      </c>
      <c r="J62" s="3" t="s">
        <v>78</v>
      </c>
      <c r="K62" s="3" t="s">
        <v>78</v>
      </c>
      <c r="L62" s="3">
        <v>3</v>
      </c>
      <c r="M62" s="3" t="s">
        <v>79</v>
      </c>
      <c r="N62" s="3" t="s">
        <v>80</v>
      </c>
      <c r="O62" s="3">
        <v>4.4000000000000004</v>
      </c>
      <c r="P62" s="3">
        <f t="shared" si="3"/>
        <v>1.0300000000000002</v>
      </c>
      <c r="Q62" s="3" t="s">
        <v>217</v>
      </c>
      <c r="R62" s="3">
        <v>3</v>
      </c>
      <c r="S62" s="3">
        <v>103</v>
      </c>
      <c r="T62" s="3" t="s">
        <v>81</v>
      </c>
    </row>
    <row r="63" spans="1:20" s="3" customFormat="1" x14ac:dyDescent="0.35">
      <c r="A63" s="3">
        <v>2</v>
      </c>
      <c r="B63" s="3">
        <v>2</v>
      </c>
      <c r="C63" s="3" t="s">
        <v>1073</v>
      </c>
      <c r="D63" s="3" t="s">
        <v>1082</v>
      </c>
      <c r="E63" s="3" t="s">
        <v>22</v>
      </c>
      <c r="H63" s="3" t="s">
        <v>23</v>
      </c>
      <c r="I63" s="3" t="s">
        <v>77</v>
      </c>
      <c r="J63" s="3" t="s">
        <v>78</v>
      </c>
      <c r="K63" s="3" t="s">
        <v>78</v>
      </c>
      <c r="L63" s="3">
        <v>0</v>
      </c>
      <c r="M63" s="3" t="s">
        <v>79</v>
      </c>
      <c r="N63" s="3" t="s">
        <v>80</v>
      </c>
      <c r="O63" s="3">
        <v>4.0999999999999996</v>
      </c>
      <c r="P63" s="3">
        <f t="shared" si="3"/>
        <v>0.72999999999999954</v>
      </c>
      <c r="Q63" s="3" t="s">
        <v>29</v>
      </c>
      <c r="R63" s="3">
        <v>3</v>
      </c>
      <c r="S63" s="3">
        <v>60</v>
      </c>
      <c r="T63" s="3" t="s">
        <v>81</v>
      </c>
    </row>
    <row r="64" spans="1:20" x14ac:dyDescent="0.35">
      <c r="A64">
        <v>2</v>
      </c>
      <c r="B64">
        <v>2</v>
      </c>
      <c r="C64" t="s">
        <v>1073</v>
      </c>
      <c r="D64" t="s">
        <v>1083</v>
      </c>
      <c r="E64" t="s">
        <v>22</v>
      </c>
      <c r="F64">
        <v>3</v>
      </c>
      <c r="H64" t="s">
        <v>23</v>
      </c>
      <c r="I64" t="s">
        <v>24</v>
      </c>
      <c r="J64" t="s">
        <v>1084</v>
      </c>
      <c r="K64" t="s">
        <v>1085</v>
      </c>
      <c r="L64">
        <v>0</v>
      </c>
      <c r="M64" t="s">
        <v>1086</v>
      </c>
      <c r="N64" t="s">
        <v>1087</v>
      </c>
      <c r="O64">
        <v>16.899999999999999</v>
      </c>
      <c r="P64">
        <f t="shared" si="3"/>
        <v>13.529999999999998</v>
      </c>
      <c r="Q64" t="s">
        <v>249</v>
      </c>
      <c r="R64">
        <v>3</v>
      </c>
      <c r="S64">
        <v>40</v>
      </c>
      <c r="T64" t="s">
        <v>528</v>
      </c>
    </row>
    <row r="65" spans="1:20" x14ac:dyDescent="0.35">
      <c r="A65">
        <v>2</v>
      </c>
      <c r="B65">
        <v>2</v>
      </c>
      <c r="C65" t="s">
        <v>1073</v>
      </c>
      <c r="D65" t="s">
        <v>1088</v>
      </c>
      <c r="E65" t="s">
        <v>22</v>
      </c>
      <c r="F65">
        <v>6</v>
      </c>
      <c r="H65" t="s">
        <v>23</v>
      </c>
      <c r="I65" t="s">
        <v>24</v>
      </c>
      <c r="J65" t="s">
        <v>1089</v>
      </c>
      <c r="K65" t="s">
        <v>829</v>
      </c>
      <c r="L65">
        <v>3</v>
      </c>
      <c r="M65" t="s">
        <v>1090</v>
      </c>
      <c r="N65" t="s">
        <v>314</v>
      </c>
      <c r="O65">
        <v>16.8</v>
      </c>
      <c r="P65">
        <f t="shared" si="3"/>
        <v>13.43</v>
      </c>
      <c r="Q65" t="s">
        <v>1047</v>
      </c>
      <c r="R65">
        <v>3</v>
      </c>
      <c r="S65">
        <v>39</v>
      </c>
      <c r="T65" t="s">
        <v>528</v>
      </c>
    </row>
    <row r="66" spans="1:20" x14ac:dyDescent="0.35">
      <c r="A66">
        <v>2</v>
      </c>
      <c r="B66">
        <v>2</v>
      </c>
      <c r="C66" t="s">
        <v>1073</v>
      </c>
      <c r="D66" t="s">
        <v>1091</v>
      </c>
      <c r="E66" t="s">
        <v>22</v>
      </c>
      <c r="F66">
        <v>3</v>
      </c>
      <c r="H66" t="s">
        <v>23</v>
      </c>
      <c r="I66" t="s">
        <v>24</v>
      </c>
      <c r="J66" t="s">
        <v>1092</v>
      </c>
      <c r="K66" t="s">
        <v>86</v>
      </c>
      <c r="L66">
        <v>3</v>
      </c>
      <c r="M66" t="s">
        <v>558</v>
      </c>
      <c r="N66" t="s">
        <v>1058</v>
      </c>
      <c r="O66">
        <v>47.9</v>
      </c>
      <c r="P66">
        <f t="shared" si="3"/>
        <v>44.53</v>
      </c>
      <c r="Q66" t="s">
        <v>1093</v>
      </c>
      <c r="R66">
        <v>9</v>
      </c>
      <c r="S66">
        <v>103</v>
      </c>
      <c r="T66" t="s">
        <v>338</v>
      </c>
    </row>
    <row r="67" spans="1:20" x14ac:dyDescent="0.35">
      <c r="A67">
        <v>2</v>
      </c>
      <c r="B67">
        <v>2</v>
      </c>
      <c r="C67" t="s">
        <v>1073</v>
      </c>
      <c r="D67" t="s">
        <v>1094</v>
      </c>
      <c r="E67" t="s">
        <v>22</v>
      </c>
      <c r="F67">
        <v>7</v>
      </c>
      <c r="H67" t="s">
        <v>23</v>
      </c>
      <c r="I67" t="s">
        <v>24</v>
      </c>
      <c r="J67" t="s">
        <v>1095</v>
      </c>
      <c r="K67" t="s">
        <v>305</v>
      </c>
      <c r="L67">
        <v>0</v>
      </c>
      <c r="M67" t="s">
        <v>1096</v>
      </c>
      <c r="N67" t="s">
        <v>235</v>
      </c>
      <c r="O67">
        <v>18.399999999999999</v>
      </c>
      <c r="P67">
        <f t="shared" si="3"/>
        <v>15.029999999999998</v>
      </c>
      <c r="Q67" t="s">
        <v>1047</v>
      </c>
      <c r="R67">
        <v>4</v>
      </c>
      <c r="S67">
        <v>42</v>
      </c>
      <c r="T67" t="s">
        <v>498</v>
      </c>
    </row>
    <row r="68" spans="1:20" x14ac:dyDescent="0.35">
      <c r="A68">
        <v>2</v>
      </c>
      <c r="B68">
        <v>2</v>
      </c>
      <c r="C68" t="s">
        <v>1073</v>
      </c>
      <c r="D68" t="s">
        <v>1097</v>
      </c>
      <c r="E68" t="s">
        <v>22</v>
      </c>
      <c r="F68">
        <v>6</v>
      </c>
      <c r="H68" t="s">
        <v>23</v>
      </c>
      <c r="I68" t="s">
        <v>24</v>
      </c>
      <c r="J68" t="s">
        <v>1098</v>
      </c>
      <c r="K68" t="s">
        <v>1099</v>
      </c>
      <c r="L68">
        <v>0</v>
      </c>
      <c r="M68" t="s">
        <v>1100</v>
      </c>
      <c r="N68" t="s">
        <v>113</v>
      </c>
      <c r="O68">
        <v>24</v>
      </c>
      <c r="P68">
        <f t="shared" si="3"/>
        <v>20.63</v>
      </c>
      <c r="Q68" t="s">
        <v>554</v>
      </c>
      <c r="R68">
        <v>4</v>
      </c>
      <c r="S68">
        <v>60</v>
      </c>
      <c r="T68" t="s">
        <v>520</v>
      </c>
    </row>
    <row r="69" spans="1:20" x14ac:dyDescent="0.35">
      <c r="A69">
        <v>2</v>
      </c>
      <c r="B69">
        <v>2</v>
      </c>
      <c r="C69" t="s">
        <v>1073</v>
      </c>
      <c r="D69" t="s">
        <v>1101</v>
      </c>
      <c r="E69" t="s">
        <v>22</v>
      </c>
      <c r="F69">
        <v>3</v>
      </c>
      <c r="H69" t="s">
        <v>23</v>
      </c>
      <c r="I69" t="s">
        <v>24</v>
      </c>
      <c r="J69" t="s">
        <v>1084</v>
      </c>
      <c r="K69" t="s">
        <v>1085</v>
      </c>
      <c r="L69">
        <v>0</v>
      </c>
      <c r="M69" t="s">
        <v>1086</v>
      </c>
      <c r="N69" t="s">
        <v>1087</v>
      </c>
      <c r="O69">
        <v>16.899999999999999</v>
      </c>
      <c r="P69">
        <f t="shared" si="3"/>
        <v>13.529999999999998</v>
      </c>
      <c r="Q69" t="s">
        <v>249</v>
      </c>
      <c r="R69">
        <v>3</v>
      </c>
      <c r="S69">
        <v>40</v>
      </c>
      <c r="T69" t="s">
        <v>528</v>
      </c>
    </row>
    <row r="70" spans="1:20" x14ac:dyDescent="0.35">
      <c r="A70">
        <v>2</v>
      </c>
      <c r="B70">
        <v>2</v>
      </c>
      <c r="C70" t="s">
        <v>1073</v>
      </c>
      <c r="D70" t="s">
        <v>1102</v>
      </c>
      <c r="E70" t="s">
        <v>22</v>
      </c>
      <c r="F70">
        <v>8</v>
      </c>
      <c r="H70" t="s">
        <v>23</v>
      </c>
      <c r="I70" t="s">
        <v>24</v>
      </c>
      <c r="J70" t="s">
        <v>875</v>
      </c>
      <c r="K70" t="s">
        <v>115</v>
      </c>
      <c r="L70">
        <v>3</v>
      </c>
      <c r="M70" t="s">
        <v>1103</v>
      </c>
      <c r="N70" t="s">
        <v>788</v>
      </c>
      <c r="O70">
        <v>14.4</v>
      </c>
      <c r="P70">
        <f t="shared" si="3"/>
        <v>11.030000000000001</v>
      </c>
      <c r="Q70" t="s">
        <v>458</v>
      </c>
      <c r="R70">
        <v>3</v>
      </c>
      <c r="S70">
        <v>35</v>
      </c>
      <c r="T70" t="s">
        <v>253</v>
      </c>
    </row>
    <row r="71" spans="1:20" x14ac:dyDescent="0.35">
      <c r="A71">
        <v>2</v>
      </c>
      <c r="B71">
        <v>2</v>
      </c>
      <c r="C71" t="s">
        <v>1073</v>
      </c>
      <c r="D71" t="s">
        <v>1104</v>
      </c>
      <c r="E71" t="s">
        <v>22</v>
      </c>
      <c r="F71">
        <v>6</v>
      </c>
      <c r="H71" t="s">
        <v>23</v>
      </c>
      <c r="I71" t="s">
        <v>24</v>
      </c>
      <c r="J71" t="s">
        <v>1098</v>
      </c>
      <c r="K71" t="s">
        <v>1099</v>
      </c>
      <c r="L71">
        <v>0</v>
      </c>
      <c r="M71" t="s">
        <v>1100</v>
      </c>
      <c r="N71" t="s">
        <v>113</v>
      </c>
      <c r="O71">
        <v>24</v>
      </c>
      <c r="P71">
        <f t="shared" si="3"/>
        <v>20.63</v>
      </c>
      <c r="Q71" t="s">
        <v>554</v>
      </c>
      <c r="R71">
        <v>4</v>
      </c>
      <c r="S71">
        <v>60</v>
      </c>
      <c r="T71" t="s">
        <v>520</v>
      </c>
    </row>
    <row r="72" spans="1:20" x14ac:dyDescent="0.35">
      <c r="A72">
        <v>2</v>
      </c>
      <c r="B72">
        <v>2</v>
      </c>
      <c r="C72" t="s">
        <v>1073</v>
      </c>
      <c r="D72" t="s">
        <v>1105</v>
      </c>
      <c r="E72" t="s">
        <v>22</v>
      </c>
      <c r="F72">
        <v>2</v>
      </c>
      <c r="H72" t="s">
        <v>23</v>
      </c>
      <c r="I72" t="s">
        <v>24</v>
      </c>
      <c r="J72" t="s">
        <v>168</v>
      </c>
      <c r="K72" t="s">
        <v>578</v>
      </c>
      <c r="L72">
        <v>3</v>
      </c>
      <c r="M72">
        <v>153</v>
      </c>
      <c r="N72">
        <v>48</v>
      </c>
      <c r="O72">
        <v>19.8</v>
      </c>
      <c r="P72">
        <f t="shared" si="3"/>
        <v>16.43</v>
      </c>
      <c r="Q72" t="s">
        <v>30</v>
      </c>
      <c r="R72">
        <v>3</v>
      </c>
      <c r="S72">
        <v>46</v>
      </c>
      <c r="T72" t="s">
        <v>564</v>
      </c>
    </row>
    <row r="73" spans="1:20" x14ac:dyDescent="0.35">
      <c r="A73">
        <v>2</v>
      </c>
      <c r="B73">
        <v>2</v>
      </c>
      <c r="C73" t="s">
        <v>1073</v>
      </c>
      <c r="D73" t="s">
        <v>1106</v>
      </c>
      <c r="E73" t="s">
        <v>22</v>
      </c>
      <c r="F73">
        <v>7</v>
      </c>
      <c r="H73" t="s">
        <v>23</v>
      </c>
      <c r="I73" t="s">
        <v>24</v>
      </c>
      <c r="J73" t="s">
        <v>1107</v>
      </c>
      <c r="K73" t="s">
        <v>1108</v>
      </c>
      <c r="L73">
        <v>3</v>
      </c>
      <c r="M73" t="s">
        <v>1109</v>
      </c>
      <c r="N73" t="s">
        <v>335</v>
      </c>
      <c r="O73">
        <v>29.2</v>
      </c>
      <c r="P73">
        <f t="shared" si="3"/>
        <v>25.83</v>
      </c>
      <c r="Q73" t="s">
        <v>1059</v>
      </c>
      <c r="R73">
        <v>3</v>
      </c>
      <c r="S73">
        <v>72</v>
      </c>
      <c r="T73" t="s">
        <v>586</v>
      </c>
    </row>
    <row r="75" spans="1:20" x14ac:dyDescent="0.35">
      <c r="C75" t="s">
        <v>2</v>
      </c>
      <c r="D75" t="s">
        <v>3</v>
      </c>
      <c r="E75" t="s">
        <v>4</v>
      </c>
      <c r="F75" t="s">
        <v>5</v>
      </c>
      <c r="G75" t="s">
        <v>6</v>
      </c>
      <c r="H75" t="s">
        <v>7</v>
      </c>
      <c r="I75" t="s">
        <v>8</v>
      </c>
      <c r="J75" t="s">
        <v>9</v>
      </c>
      <c r="K75" t="s">
        <v>10</v>
      </c>
      <c r="L75" t="s">
        <v>11</v>
      </c>
      <c r="M75" t="s">
        <v>12</v>
      </c>
      <c r="N75" t="s">
        <v>13</v>
      </c>
      <c r="O75" t="s">
        <v>14</v>
      </c>
      <c r="Q75" t="s">
        <v>16</v>
      </c>
      <c r="R75" t="s">
        <v>17</v>
      </c>
      <c r="S75" t="s">
        <v>18</v>
      </c>
      <c r="T75" t="s">
        <v>19</v>
      </c>
    </row>
    <row r="76" spans="1:20" x14ac:dyDescent="0.35">
      <c r="A76">
        <v>1</v>
      </c>
      <c r="B76">
        <v>3</v>
      </c>
      <c r="C76" t="s">
        <v>1110</v>
      </c>
      <c r="D76" t="s">
        <v>1111</v>
      </c>
      <c r="E76" t="s">
        <v>22</v>
      </c>
      <c r="F76">
        <v>17</v>
      </c>
      <c r="H76" t="s">
        <v>23</v>
      </c>
      <c r="I76" t="s">
        <v>24</v>
      </c>
      <c r="J76" t="s">
        <v>553</v>
      </c>
      <c r="K76" t="s">
        <v>1112</v>
      </c>
      <c r="L76">
        <v>2</v>
      </c>
      <c r="M76" t="s">
        <v>1113</v>
      </c>
      <c r="N76" t="s">
        <v>386</v>
      </c>
      <c r="O76">
        <v>32.299999999999997</v>
      </c>
      <c r="P76">
        <f t="shared" ref="P76:P98" si="4">O76-$O$114</f>
        <v>28.929999999999996</v>
      </c>
      <c r="Q76" t="s">
        <v>991</v>
      </c>
      <c r="R76">
        <v>6</v>
      </c>
      <c r="S76">
        <v>69</v>
      </c>
      <c r="T76" t="s">
        <v>692</v>
      </c>
    </row>
    <row r="77" spans="1:20" x14ac:dyDescent="0.35">
      <c r="A77">
        <v>1</v>
      </c>
      <c r="B77">
        <v>3</v>
      </c>
      <c r="C77" t="s">
        <v>1110</v>
      </c>
      <c r="D77" s="4" t="s">
        <v>1114</v>
      </c>
      <c r="E77" t="s">
        <v>22</v>
      </c>
      <c r="F77">
        <v>12</v>
      </c>
      <c r="H77" t="s">
        <v>23</v>
      </c>
      <c r="I77" t="s">
        <v>24</v>
      </c>
      <c r="J77" t="s">
        <v>679</v>
      </c>
      <c r="K77" t="s">
        <v>1115</v>
      </c>
      <c r="L77">
        <v>2</v>
      </c>
      <c r="M77" t="s">
        <v>1116</v>
      </c>
      <c r="N77" t="s">
        <v>445</v>
      </c>
      <c r="O77">
        <v>9.3000000000000007</v>
      </c>
      <c r="P77">
        <f t="shared" si="4"/>
        <v>5.9300000000000006</v>
      </c>
      <c r="Q77" t="s">
        <v>170</v>
      </c>
      <c r="R77">
        <v>3</v>
      </c>
      <c r="S77">
        <v>20</v>
      </c>
      <c r="T77" t="s">
        <v>189</v>
      </c>
    </row>
    <row r="78" spans="1:20" x14ac:dyDescent="0.35">
      <c r="A78">
        <v>1</v>
      </c>
      <c r="B78">
        <v>3</v>
      </c>
      <c r="C78" t="s">
        <v>1110</v>
      </c>
      <c r="D78" t="s">
        <v>1117</v>
      </c>
      <c r="E78" t="s">
        <v>22</v>
      </c>
      <c r="F78">
        <v>8</v>
      </c>
      <c r="H78" t="s">
        <v>23</v>
      </c>
      <c r="I78" t="s">
        <v>24</v>
      </c>
      <c r="J78" t="s">
        <v>1118</v>
      </c>
      <c r="K78" t="s">
        <v>1119</v>
      </c>
      <c r="L78">
        <v>4</v>
      </c>
      <c r="M78" t="s">
        <v>1120</v>
      </c>
      <c r="N78" t="s">
        <v>568</v>
      </c>
      <c r="O78">
        <v>22.3</v>
      </c>
      <c r="P78">
        <f t="shared" si="4"/>
        <v>18.93</v>
      </c>
      <c r="Q78" t="s">
        <v>30</v>
      </c>
      <c r="R78">
        <v>8</v>
      </c>
      <c r="S78">
        <v>49</v>
      </c>
      <c r="T78" t="s">
        <v>555</v>
      </c>
    </row>
    <row r="79" spans="1:20" x14ac:dyDescent="0.35">
      <c r="A79">
        <v>1</v>
      </c>
      <c r="B79">
        <v>3</v>
      </c>
      <c r="C79" t="s">
        <v>1110</v>
      </c>
      <c r="D79" t="s">
        <v>1121</v>
      </c>
      <c r="E79" t="s">
        <v>22</v>
      </c>
      <c r="F79">
        <v>1</v>
      </c>
      <c r="H79" t="s">
        <v>23</v>
      </c>
      <c r="I79" t="s">
        <v>24</v>
      </c>
      <c r="J79" t="s">
        <v>1122</v>
      </c>
      <c r="K79" t="s">
        <v>721</v>
      </c>
      <c r="L79">
        <v>4</v>
      </c>
      <c r="M79" t="s">
        <v>330</v>
      </c>
      <c r="N79">
        <v>43</v>
      </c>
      <c r="O79">
        <v>10.7</v>
      </c>
      <c r="P79">
        <f t="shared" si="4"/>
        <v>7.3299999999999992</v>
      </c>
      <c r="Q79" t="s">
        <v>220</v>
      </c>
      <c r="R79">
        <v>3</v>
      </c>
      <c r="S79">
        <v>34</v>
      </c>
      <c r="T79" t="s">
        <v>198</v>
      </c>
    </row>
    <row r="80" spans="1:20" x14ac:dyDescent="0.35">
      <c r="A80">
        <v>1</v>
      </c>
      <c r="B80">
        <v>3</v>
      </c>
      <c r="C80" t="s">
        <v>1110</v>
      </c>
      <c r="D80" t="s">
        <v>1123</v>
      </c>
      <c r="E80" t="s">
        <v>22</v>
      </c>
      <c r="F80">
        <v>20</v>
      </c>
      <c r="H80" t="s">
        <v>23</v>
      </c>
      <c r="I80" t="s">
        <v>24</v>
      </c>
      <c r="J80" t="s">
        <v>1124</v>
      </c>
      <c r="K80" t="s">
        <v>1084</v>
      </c>
      <c r="L80">
        <v>2</v>
      </c>
      <c r="M80" t="s">
        <v>1125</v>
      </c>
      <c r="N80" t="s">
        <v>666</v>
      </c>
      <c r="O80">
        <v>24.2</v>
      </c>
      <c r="P80">
        <f t="shared" si="4"/>
        <v>20.83</v>
      </c>
      <c r="Q80" t="s">
        <v>189</v>
      </c>
      <c r="R80">
        <v>3</v>
      </c>
      <c r="S80">
        <v>60</v>
      </c>
      <c r="T80" t="s">
        <v>520</v>
      </c>
    </row>
    <row r="81" spans="1:20" x14ac:dyDescent="0.35">
      <c r="A81">
        <v>1</v>
      </c>
      <c r="B81">
        <v>3</v>
      </c>
      <c r="C81" t="s">
        <v>1110</v>
      </c>
      <c r="D81" t="s">
        <v>1126</v>
      </c>
      <c r="E81" t="s">
        <v>22</v>
      </c>
      <c r="F81">
        <v>4</v>
      </c>
      <c r="H81" t="s">
        <v>23</v>
      </c>
      <c r="I81" t="s">
        <v>24</v>
      </c>
      <c r="J81" t="s">
        <v>662</v>
      </c>
      <c r="K81">
        <v>27</v>
      </c>
      <c r="L81">
        <v>4</v>
      </c>
      <c r="M81" t="s">
        <v>1127</v>
      </c>
      <c r="N81" t="s">
        <v>1058</v>
      </c>
      <c r="O81">
        <v>16.8</v>
      </c>
      <c r="P81">
        <f t="shared" si="4"/>
        <v>13.43</v>
      </c>
      <c r="Q81">
        <v>6</v>
      </c>
      <c r="R81">
        <v>4</v>
      </c>
      <c r="S81">
        <v>40</v>
      </c>
      <c r="T81" t="s">
        <v>528</v>
      </c>
    </row>
    <row r="82" spans="1:20" x14ac:dyDescent="0.35">
      <c r="A82">
        <v>1</v>
      </c>
      <c r="B82">
        <v>3</v>
      </c>
      <c r="C82" t="s">
        <v>1110</v>
      </c>
      <c r="D82" t="s">
        <v>1128</v>
      </c>
      <c r="E82" t="s">
        <v>22</v>
      </c>
      <c r="F82">
        <v>18</v>
      </c>
      <c r="H82" t="s">
        <v>23</v>
      </c>
      <c r="I82" t="s">
        <v>24</v>
      </c>
      <c r="J82" t="s">
        <v>1129</v>
      </c>
      <c r="K82" t="s">
        <v>1130</v>
      </c>
      <c r="L82">
        <v>2</v>
      </c>
      <c r="M82" t="s">
        <v>1131</v>
      </c>
      <c r="N82" t="s">
        <v>336</v>
      </c>
      <c r="O82">
        <v>11.2</v>
      </c>
      <c r="P82">
        <f t="shared" si="4"/>
        <v>7.8299999999999992</v>
      </c>
      <c r="Q82" t="s">
        <v>479</v>
      </c>
      <c r="R82">
        <v>3</v>
      </c>
      <c r="S82">
        <v>30</v>
      </c>
      <c r="T82" t="s">
        <v>109</v>
      </c>
    </row>
    <row r="83" spans="1:20" x14ac:dyDescent="0.35">
      <c r="A83">
        <v>1</v>
      </c>
      <c r="B83">
        <v>3</v>
      </c>
      <c r="C83" t="s">
        <v>1110</v>
      </c>
      <c r="D83" t="s">
        <v>1132</v>
      </c>
      <c r="E83" t="s">
        <v>22</v>
      </c>
      <c r="F83">
        <v>3</v>
      </c>
      <c r="H83" t="s">
        <v>23</v>
      </c>
      <c r="I83" t="s">
        <v>24</v>
      </c>
      <c r="J83" t="s">
        <v>790</v>
      </c>
      <c r="K83" t="s">
        <v>1133</v>
      </c>
      <c r="L83">
        <v>4</v>
      </c>
      <c r="M83" t="s">
        <v>1134</v>
      </c>
      <c r="N83" t="s">
        <v>668</v>
      </c>
      <c r="O83">
        <v>10.3</v>
      </c>
      <c r="P83">
        <f t="shared" si="4"/>
        <v>6.9300000000000006</v>
      </c>
      <c r="Q83">
        <v>5</v>
      </c>
      <c r="R83">
        <v>3</v>
      </c>
      <c r="S83">
        <v>34</v>
      </c>
      <c r="T83" t="s">
        <v>189</v>
      </c>
    </row>
    <row r="84" spans="1:20" x14ac:dyDescent="0.35">
      <c r="A84">
        <v>1</v>
      </c>
      <c r="B84">
        <v>3</v>
      </c>
      <c r="C84" t="s">
        <v>1110</v>
      </c>
      <c r="D84" s="4" t="s">
        <v>1135</v>
      </c>
      <c r="E84" t="s">
        <v>22</v>
      </c>
      <c r="F84">
        <v>10</v>
      </c>
      <c r="H84" t="s">
        <v>23</v>
      </c>
      <c r="I84" t="s">
        <v>24</v>
      </c>
      <c r="J84" t="s">
        <v>672</v>
      </c>
      <c r="K84" t="s">
        <v>210</v>
      </c>
      <c r="L84">
        <v>4</v>
      </c>
      <c r="M84" t="s">
        <v>1136</v>
      </c>
      <c r="N84" t="s">
        <v>716</v>
      </c>
      <c r="O84">
        <v>26.5</v>
      </c>
      <c r="P84">
        <f t="shared" si="4"/>
        <v>23.13</v>
      </c>
      <c r="Q84" t="s">
        <v>597</v>
      </c>
      <c r="R84">
        <v>3</v>
      </c>
      <c r="S84">
        <v>72</v>
      </c>
      <c r="T84" t="s">
        <v>744</v>
      </c>
    </row>
    <row r="85" spans="1:20" x14ac:dyDescent="0.35">
      <c r="A85">
        <v>1</v>
      </c>
      <c r="B85">
        <v>3</v>
      </c>
      <c r="C85" t="s">
        <v>1110</v>
      </c>
      <c r="D85" t="s">
        <v>1137</v>
      </c>
      <c r="E85" t="s">
        <v>22</v>
      </c>
      <c r="F85">
        <v>2</v>
      </c>
      <c r="H85" t="s">
        <v>23</v>
      </c>
      <c r="I85" t="s">
        <v>24</v>
      </c>
      <c r="J85" t="s">
        <v>780</v>
      </c>
      <c r="K85" t="s">
        <v>1138</v>
      </c>
      <c r="L85">
        <v>4</v>
      </c>
      <c r="M85" t="s">
        <v>163</v>
      </c>
      <c r="N85" t="s">
        <v>359</v>
      </c>
      <c r="O85">
        <v>11.2</v>
      </c>
      <c r="P85">
        <f t="shared" si="4"/>
        <v>7.8299999999999992</v>
      </c>
      <c r="Q85" t="s">
        <v>259</v>
      </c>
      <c r="R85">
        <v>3</v>
      </c>
      <c r="S85">
        <v>28</v>
      </c>
      <c r="T85" t="s">
        <v>109</v>
      </c>
    </row>
    <row r="86" spans="1:20" x14ac:dyDescent="0.35">
      <c r="A86">
        <v>1</v>
      </c>
      <c r="B86">
        <v>3</v>
      </c>
      <c r="C86" t="s">
        <v>1110</v>
      </c>
      <c r="D86" s="4" t="s">
        <v>1139</v>
      </c>
      <c r="E86" t="s">
        <v>22</v>
      </c>
      <c r="F86">
        <v>16</v>
      </c>
      <c r="H86" t="s">
        <v>23</v>
      </c>
      <c r="I86" t="s">
        <v>24</v>
      </c>
      <c r="J86">
        <v>11</v>
      </c>
      <c r="K86" t="s">
        <v>1140</v>
      </c>
      <c r="L86">
        <v>2</v>
      </c>
      <c r="M86">
        <v>126</v>
      </c>
      <c r="N86" t="s">
        <v>631</v>
      </c>
      <c r="O86">
        <v>8.1</v>
      </c>
      <c r="P86">
        <f t="shared" si="4"/>
        <v>4.7299999999999995</v>
      </c>
      <c r="Q86" t="s">
        <v>100</v>
      </c>
      <c r="R86">
        <v>3</v>
      </c>
      <c r="S86">
        <v>21</v>
      </c>
      <c r="T86" t="s">
        <v>36</v>
      </c>
    </row>
    <row r="87" spans="1:20" x14ac:dyDescent="0.35">
      <c r="A87">
        <v>1</v>
      </c>
      <c r="B87">
        <v>3</v>
      </c>
      <c r="C87" t="s">
        <v>1110</v>
      </c>
      <c r="D87" t="s">
        <v>1141</v>
      </c>
      <c r="E87" t="s">
        <v>22</v>
      </c>
      <c r="F87">
        <v>19</v>
      </c>
      <c r="H87" t="s">
        <v>23</v>
      </c>
      <c r="I87" t="s">
        <v>24</v>
      </c>
      <c r="J87" t="s">
        <v>1142</v>
      </c>
      <c r="K87" t="s">
        <v>1143</v>
      </c>
      <c r="L87">
        <v>2</v>
      </c>
      <c r="M87" t="s">
        <v>1144</v>
      </c>
      <c r="N87" t="s">
        <v>354</v>
      </c>
      <c r="O87">
        <v>13.9</v>
      </c>
      <c r="P87">
        <f t="shared" si="4"/>
        <v>10.530000000000001</v>
      </c>
      <c r="Q87" t="s">
        <v>880</v>
      </c>
      <c r="R87">
        <v>4</v>
      </c>
      <c r="S87">
        <v>38</v>
      </c>
      <c r="T87" t="s">
        <v>238</v>
      </c>
    </row>
    <row r="88" spans="1:20" x14ac:dyDescent="0.35">
      <c r="A88">
        <v>1</v>
      </c>
      <c r="B88">
        <v>3</v>
      </c>
      <c r="C88" t="s">
        <v>1110</v>
      </c>
      <c r="D88" t="s">
        <v>1145</v>
      </c>
      <c r="E88" t="s">
        <v>22</v>
      </c>
      <c r="F88">
        <v>12</v>
      </c>
      <c r="H88" t="s">
        <v>23</v>
      </c>
      <c r="I88" t="s">
        <v>24</v>
      </c>
      <c r="J88" t="s">
        <v>1146</v>
      </c>
      <c r="K88" t="s">
        <v>1147</v>
      </c>
      <c r="L88">
        <v>4</v>
      </c>
      <c r="M88" t="s">
        <v>468</v>
      </c>
      <c r="N88" t="s">
        <v>178</v>
      </c>
      <c r="O88">
        <v>12.2</v>
      </c>
      <c r="P88">
        <f t="shared" si="4"/>
        <v>8.8299999999999983</v>
      </c>
      <c r="Q88" t="s">
        <v>363</v>
      </c>
      <c r="R88">
        <v>3</v>
      </c>
      <c r="S88">
        <v>35</v>
      </c>
      <c r="T88" t="s">
        <v>274</v>
      </c>
    </row>
    <row r="89" spans="1:20" x14ac:dyDescent="0.35">
      <c r="A89">
        <v>1</v>
      </c>
      <c r="B89">
        <v>3</v>
      </c>
      <c r="C89" t="s">
        <v>1110</v>
      </c>
      <c r="D89" t="s">
        <v>1148</v>
      </c>
      <c r="E89" t="s">
        <v>22</v>
      </c>
      <c r="F89">
        <v>9</v>
      </c>
      <c r="H89" t="s">
        <v>23</v>
      </c>
      <c r="I89" t="s">
        <v>24</v>
      </c>
      <c r="J89" t="s">
        <v>1149</v>
      </c>
      <c r="K89">
        <v>59</v>
      </c>
      <c r="L89">
        <v>4</v>
      </c>
      <c r="M89" t="s">
        <v>1150</v>
      </c>
      <c r="N89" t="s">
        <v>1151</v>
      </c>
      <c r="O89">
        <v>16.100000000000001</v>
      </c>
      <c r="P89">
        <f t="shared" si="4"/>
        <v>12.73</v>
      </c>
      <c r="Q89" t="s">
        <v>765</v>
      </c>
      <c r="R89">
        <v>3</v>
      </c>
      <c r="S89">
        <v>42</v>
      </c>
      <c r="T89" t="s">
        <v>326</v>
      </c>
    </row>
    <row r="90" spans="1:20" s="3" customFormat="1" x14ac:dyDescent="0.35">
      <c r="A90" s="3">
        <v>1</v>
      </c>
      <c r="B90" s="3">
        <v>3</v>
      </c>
      <c r="C90" s="3" t="s">
        <v>1110</v>
      </c>
      <c r="D90" s="3" t="s">
        <v>1152</v>
      </c>
      <c r="E90" s="3" t="s">
        <v>22</v>
      </c>
      <c r="H90" s="3" t="s">
        <v>23</v>
      </c>
      <c r="I90" s="3" t="s">
        <v>77</v>
      </c>
      <c r="J90" s="3" t="s">
        <v>78</v>
      </c>
      <c r="K90" s="3" t="s">
        <v>78</v>
      </c>
      <c r="L90" s="3">
        <v>4</v>
      </c>
      <c r="M90" s="3" t="s">
        <v>79</v>
      </c>
      <c r="N90" s="3" t="s">
        <v>80</v>
      </c>
      <c r="O90" s="3">
        <v>5.2</v>
      </c>
      <c r="P90" s="3">
        <f t="shared" si="4"/>
        <v>1.83</v>
      </c>
      <c r="Q90" s="3" t="s">
        <v>512</v>
      </c>
      <c r="R90" s="3">
        <v>3</v>
      </c>
      <c r="S90" s="3">
        <v>79</v>
      </c>
      <c r="T90" s="3" t="s">
        <v>81</v>
      </c>
    </row>
    <row r="91" spans="1:20" x14ac:dyDescent="0.35">
      <c r="A91">
        <v>1</v>
      </c>
      <c r="B91">
        <v>3</v>
      </c>
      <c r="C91" t="s">
        <v>1110</v>
      </c>
      <c r="D91" t="s">
        <v>1153</v>
      </c>
      <c r="E91" t="s">
        <v>22</v>
      </c>
      <c r="F91">
        <v>14</v>
      </c>
      <c r="H91" t="s">
        <v>23</v>
      </c>
      <c r="I91" t="s">
        <v>24</v>
      </c>
      <c r="J91">
        <v>178</v>
      </c>
      <c r="K91" t="s">
        <v>1154</v>
      </c>
      <c r="L91">
        <v>2</v>
      </c>
      <c r="M91">
        <v>105</v>
      </c>
      <c r="N91" t="s">
        <v>895</v>
      </c>
      <c r="O91">
        <v>30</v>
      </c>
      <c r="P91">
        <f t="shared" si="4"/>
        <v>26.63</v>
      </c>
      <c r="Q91" t="s">
        <v>933</v>
      </c>
      <c r="R91">
        <v>5</v>
      </c>
      <c r="S91">
        <v>69</v>
      </c>
      <c r="T91" t="s">
        <v>290</v>
      </c>
    </row>
    <row r="92" spans="1:20" x14ac:dyDescent="0.35">
      <c r="A92">
        <v>1</v>
      </c>
      <c r="B92">
        <v>3</v>
      </c>
      <c r="C92" t="s">
        <v>1110</v>
      </c>
      <c r="D92" t="s">
        <v>1155</v>
      </c>
      <c r="E92" t="s">
        <v>22</v>
      </c>
      <c r="F92">
        <v>6</v>
      </c>
      <c r="H92" t="s">
        <v>23</v>
      </c>
      <c r="I92" t="s">
        <v>24</v>
      </c>
      <c r="J92" t="s">
        <v>719</v>
      </c>
      <c r="K92" t="s">
        <v>371</v>
      </c>
      <c r="L92">
        <v>4</v>
      </c>
      <c r="M92" t="s">
        <v>1156</v>
      </c>
      <c r="N92" t="s">
        <v>396</v>
      </c>
      <c r="O92">
        <v>11.5</v>
      </c>
      <c r="P92">
        <f t="shared" si="4"/>
        <v>8.129999999999999</v>
      </c>
      <c r="Q92" t="s">
        <v>259</v>
      </c>
      <c r="R92">
        <v>3</v>
      </c>
      <c r="S92">
        <v>28</v>
      </c>
      <c r="T92" t="s">
        <v>109</v>
      </c>
    </row>
    <row r="93" spans="1:20" x14ac:dyDescent="0.35">
      <c r="A93">
        <v>1</v>
      </c>
      <c r="B93">
        <v>3</v>
      </c>
      <c r="C93" t="s">
        <v>1110</v>
      </c>
      <c r="D93" t="s">
        <v>1157</v>
      </c>
      <c r="E93" t="s">
        <v>22</v>
      </c>
      <c r="F93">
        <v>11</v>
      </c>
      <c r="H93" t="s">
        <v>23</v>
      </c>
      <c r="I93" t="s">
        <v>24</v>
      </c>
      <c r="J93" t="s">
        <v>1158</v>
      </c>
      <c r="K93" t="s">
        <v>1159</v>
      </c>
      <c r="L93">
        <v>4</v>
      </c>
      <c r="M93" t="s">
        <v>1160</v>
      </c>
      <c r="N93" t="s">
        <v>1049</v>
      </c>
      <c r="O93">
        <v>27.1</v>
      </c>
      <c r="P93">
        <f t="shared" si="4"/>
        <v>23.73</v>
      </c>
      <c r="Q93" t="s">
        <v>1161</v>
      </c>
      <c r="R93">
        <v>5</v>
      </c>
      <c r="S93">
        <v>61</v>
      </c>
      <c r="T93" t="s">
        <v>143</v>
      </c>
    </row>
    <row r="94" spans="1:20" x14ac:dyDescent="0.35">
      <c r="A94">
        <v>1</v>
      </c>
      <c r="B94">
        <v>3</v>
      </c>
      <c r="C94" t="s">
        <v>1110</v>
      </c>
      <c r="D94" t="s">
        <v>1162</v>
      </c>
      <c r="E94" t="s">
        <v>22</v>
      </c>
      <c r="F94">
        <v>7</v>
      </c>
      <c r="H94" t="s">
        <v>23</v>
      </c>
      <c r="I94" t="s">
        <v>24</v>
      </c>
      <c r="J94" t="s">
        <v>1163</v>
      </c>
      <c r="K94" t="s">
        <v>107</v>
      </c>
      <c r="L94">
        <v>4</v>
      </c>
      <c r="M94" t="s">
        <v>1098</v>
      </c>
      <c r="N94" t="s">
        <v>113</v>
      </c>
      <c r="O94">
        <v>17.2</v>
      </c>
      <c r="P94">
        <f t="shared" si="4"/>
        <v>13.829999999999998</v>
      </c>
      <c r="Q94" t="s">
        <v>293</v>
      </c>
      <c r="R94">
        <v>5</v>
      </c>
      <c r="S94">
        <v>40</v>
      </c>
      <c r="T94" t="s">
        <v>49</v>
      </c>
    </row>
    <row r="95" spans="1:20" x14ac:dyDescent="0.35">
      <c r="A95">
        <v>1</v>
      </c>
      <c r="B95">
        <v>3</v>
      </c>
      <c r="C95" t="s">
        <v>1110</v>
      </c>
      <c r="D95" t="s">
        <v>1164</v>
      </c>
      <c r="E95" t="s">
        <v>22</v>
      </c>
      <c r="F95">
        <v>15</v>
      </c>
      <c r="H95" t="s">
        <v>23</v>
      </c>
      <c r="I95" t="s">
        <v>24</v>
      </c>
      <c r="J95" t="s">
        <v>162</v>
      </c>
      <c r="K95" t="s">
        <v>1165</v>
      </c>
      <c r="L95">
        <v>4</v>
      </c>
      <c r="M95" t="s">
        <v>809</v>
      </c>
      <c r="N95" t="s">
        <v>1166</v>
      </c>
      <c r="O95">
        <v>16.5</v>
      </c>
      <c r="P95">
        <f t="shared" si="4"/>
        <v>13.129999999999999</v>
      </c>
      <c r="Q95">
        <v>6</v>
      </c>
      <c r="R95">
        <v>3</v>
      </c>
      <c r="S95">
        <v>45</v>
      </c>
      <c r="T95" t="s">
        <v>528</v>
      </c>
    </row>
    <row r="96" spans="1:20" x14ac:dyDescent="0.35">
      <c r="A96">
        <v>1</v>
      </c>
      <c r="B96">
        <v>3</v>
      </c>
      <c r="C96" t="s">
        <v>1110</v>
      </c>
      <c r="D96" t="s">
        <v>1167</v>
      </c>
      <c r="E96" t="s">
        <v>22</v>
      </c>
      <c r="F96">
        <v>14</v>
      </c>
      <c r="H96" t="s">
        <v>23</v>
      </c>
      <c r="I96" t="s">
        <v>24</v>
      </c>
      <c r="J96" t="s">
        <v>244</v>
      </c>
      <c r="K96" t="s">
        <v>1168</v>
      </c>
      <c r="L96">
        <v>4</v>
      </c>
      <c r="M96" t="s">
        <v>662</v>
      </c>
      <c r="N96" t="s">
        <v>788</v>
      </c>
      <c r="O96">
        <v>18.5</v>
      </c>
      <c r="P96">
        <f t="shared" si="4"/>
        <v>15.129999999999999</v>
      </c>
      <c r="Q96" t="s">
        <v>778</v>
      </c>
      <c r="R96">
        <v>4</v>
      </c>
      <c r="S96">
        <v>54</v>
      </c>
      <c r="T96" t="s">
        <v>498</v>
      </c>
    </row>
    <row r="97" spans="1:20" x14ac:dyDescent="0.35">
      <c r="A97">
        <v>1</v>
      </c>
      <c r="B97">
        <v>3</v>
      </c>
      <c r="C97" t="s">
        <v>1110</v>
      </c>
      <c r="D97" t="s">
        <v>1169</v>
      </c>
      <c r="E97" t="s">
        <v>22</v>
      </c>
      <c r="F97">
        <v>17</v>
      </c>
      <c r="H97" t="s">
        <v>23</v>
      </c>
      <c r="I97" t="s">
        <v>24</v>
      </c>
      <c r="J97" t="s">
        <v>366</v>
      </c>
      <c r="K97" t="s">
        <v>1170</v>
      </c>
      <c r="L97">
        <v>4</v>
      </c>
      <c r="M97" t="s">
        <v>1171</v>
      </c>
      <c r="N97" t="s">
        <v>431</v>
      </c>
      <c r="O97">
        <v>40.9</v>
      </c>
      <c r="P97">
        <f t="shared" si="4"/>
        <v>37.53</v>
      </c>
      <c r="Q97" t="s">
        <v>1172</v>
      </c>
      <c r="R97">
        <v>9</v>
      </c>
      <c r="S97">
        <v>79</v>
      </c>
      <c r="T97" t="s">
        <v>578</v>
      </c>
    </row>
    <row r="98" spans="1:20" s="3" customFormat="1" x14ac:dyDescent="0.35">
      <c r="A98" s="3">
        <v>1</v>
      </c>
      <c r="B98" s="3">
        <v>3</v>
      </c>
      <c r="C98" s="3" t="s">
        <v>1110</v>
      </c>
      <c r="D98" s="3" t="s">
        <v>1173</v>
      </c>
      <c r="E98" s="3" t="s">
        <v>22</v>
      </c>
      <c r="H98" s="3" t="s">
        <v>23</v>
      </c>
      <c r="I98" s="3" t="s">
        <v>77</v>
      </c>
      <c r="J98" s="3" t="s">
        <v>78</v>
      </c>
      <c r="K98" s="3" t="s">
        <v>78</v>
      </c>
      <c r="L98" s="3">
        <v>2</v>
      </c>
      <c r="M98" s="3" t="s">
        <v>79</v>
      </c>
      <c r="N98" s="3" t="s">
        <v>80</v>
      </c>
      <c r="O98" s="3">
        <v>5.2</v>
      </c>
      <c r="P98" s="3">
        <f t="shared" si="4"/>
        <v>1.83</v>
      </c>
      <c r="Q98" s="3" t="s">
        <v>88</v>
      </c>
      <c r="R98" s="3">
        <v>3</v>
      </c>
      <c r="S98" s="3">
        <v>87</v>
      </c>
      <c r="T98" s="3" t="s">
        <v>88</v>
      </c>
    </row>
    <row r="100" spans="1:20" x14ac:dyDescent="0.35"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t="s">
        <v>7</v>
      </c>
      <c r="I100" t="s">
        <v>8</v>
      </c>
      <c r="J100" t="s">
        <v>9</v>
      </c>
      <c r="K100" t="s">
        <v>10</v>
      </c>
      <c r="L100" t="s">
        <v>11</v>
      </c>
      <c r="M100" t="s">
        <v>12</v>
      </c>
      <c r="N100" t="s">
        <v>13</v>
      </c>
      <c r="O100" t="s">
        <v>14</v>
      </c>
      <c r="Q100" t="s">
        <v>16</v>
      </c>
      <c r="R100" t="s">
        <v>17</v>
      </c>
      <c r="S100" t="s">
        <v>18</v>
      </c>
      <c r="T100" t="s">
        <v>19</v>
      </c>
    </row>
    <row r="101" spans="1:20" s="3" customFormat="1" x14ac:dyDescent="0.35">
      <c r="A101" s="3">
        <v>2</v>
      </c>
      <c r="B101" s="3">
        <v>3</v>
      </c>
      <c r="C101" s="3" t="s">
        <v>1174</v>
      </c>
      <c r="D101" s="3" t="s">
        <v>1175</v>
      </c>
      <c r="E101" s="3" t="s">
        <v>22</v>
      </c>
      <c r="H101" s="3" t="s">
        <v>23</v>
      </c>
      <c r="I101" s="3" t="s">
        <v>77</v>
      </c>
      <c r="J101" s="3" t="s">
        <v>78</v>
      </c>
      <c r="K101" s="3" t="s">
        <v>78</v>
      </c>
      <c r="L101" s="3">
        <v>4</v>
      </c>
      <c r="M101" s="3" t="s">
        <v>79</v>
      </c>
      <c r="N101" s="3" t="s">
        <v>80</v>
      </c>
      <c r="O101" s="3">
        <v>4.4000000000000004</v>
      </c>
      <c r="P101" s="3">
        <f t="shared" ref="P101:P111" si="5">O101-$O$114</f>
        <v>1.0300000000000002</v>
      </c>
      <c r="Q101" s="3" t="s">
        <v>1047</v>
      </c>
      <c r="R101" s="3">
        <v>3</v>
      </c>
      <c r="S101" s="3">
        <v>103</v>
      </c>
      <c r="T101" s="3" t="s">
        <v>81</v>
      </c>
    </row>
    <row r="102" spans="1:20" x14ac:dyDescent="0.35">
      <c r="A102">
        <v>2</v>
      </c>
      <c r="B102">
        <v>3</v>
      </c>
      <c r="C102" t="s">
        <v>1174</v>
      </c>
      <c r="D102" t="s">
        <v>1176</v>
      </c>
      <c r="E102" t="s">
        <v>22</v>
      </c>
      <c r="F102">
        <v>6</v>
      </c>
      <c r="H102" t="s">
        <v>23</v>
      </c>
      <c r="I102" t="s">
        <v>24</v>
      </c>
      <c r="J102" t="s">
        <v>445</v>
      </c>
      <c r="K102" t="s">
        <v>584</v>
      </c>
      <c r="L102">
        <v>4</v>
      </c>
      <c r="M102" t="s">
        <v>1177</v>
      </c>
      <c r="N102" t="s">
        <v>1178</v>
      </c>
      <c r="O102">
        <v>26.3</v>
      </c>
      <c r="P102">
        <f t="shared" si="5"/>
        <v>22.93</v>
      </c>
      <c r="Q102" t="s">
        <v>554</v>
      </c>
      <c r="R102">
        <v>4</v>
      </c>
      <c r="S102">
        <v>55</v>
      </c>
      <c r="T102" t="s">
        <v>580</v>
      </c>
    </row>
    <row r="103" spans="1:20" x14ac:dyDescent="0.35">
      <c r="A103">
        <v>2</v>
      </c>
      <c r="B103">
        <v>3</v>
      </c>
      <c r="C103" t="s">
        <v>1174</v>
      </c>
      <c r="D103" t="s">
        <v>1179</v>
      </c>
      <c r="E103" t="s">
        <v>22</v>
      </c>
      <c r="F103">
        <v>4</v>
      </c>
      <c r="H103" t="s">
        <v>23</v>
      </c>
      <c r="I103" t="s">
        <v>24</v>
      </c>
      <c r="J103" t="s">
        <v>135</v>
      </c>
      <c r="K103" t="s">
        <v>1054</v>
      </c>
      <c r="L103">
        <v>4</v>
      </c>
      <c r="M103" t="s">
        <v>1180</v>
      </c>
      <c r="N103" t="s">
        <v>1181</v>
      </c>
      <c r="O103">
        <v>41.9</v>
      </c>
      <c r="P103">
        <f t="shared" si="5"/>
        <v>38.53</v>
      </c>
      <c r="Q103" t="s">
        <v>1182</v>
      </c>
      <c r="R103">
        <v>7</v>
      </c>
      <c r="S103">
        <v>77</v>
      </c>
      <c r="T103" t="s">
        <v>541</v>
      </c>
    </row>
    <row r="104" spans="1:20" x14ac:dyDescent="0.35">
      <c r="A104">
        <v>2</v>
      </c>
      <c r="B104">
        <v>3</v>
      </c>
      <c r="C104" t="s">
        <v>1174</v>
      </c>
      <c r="D104" t="s">
        <v>1183</v>
      </c>
      <c r="E104" t="s">
        <v>22</v>
      </c>
      <c r="F104">
        <v>7</v>
      </c>
      <c r="H104" t="s">
        <v>23</v>
      </c>
      <c r="I104" t="s">
        <v>24</v>
      </c>
      <c r="J104" t="s">
        <v>1184</v>
      </c>
      <c r="K104" t="s">
        <v>711</v>
      </c>
      <c r="L104">
        <v>4</v>
      </c>
      <c r="M104" t="s">
        <v>1185</v>
      </c>
      <c r="N104" t="s">
        <v>428</v>
      </c>
      <c r="O104">
        <v>25.3</v>
      </c>
      <c r="P104">
        <f t="shared" si="5"/>
        <v>21.93</v>
      </c>
      <c r="Q104" t="s">
        <v>659</v>
      </c>
      <c r="R104">
        <v>3</v>
      </c>
      <c r="S104">
        <v>57</v>
      </c>
      <c r="T104" t="s">
        <v>806</v>
      </c>
    </row>
    <row r="105" spans="1:20" x14ac:dyDescent="0.35">
      <c r="A105">
        <v>2</v>
      </c>
      <c r="B105">
        <v>3</v>
      </c>
      <c r="C105" t="s">
        <v>1174</v>
      </c>
      <c r="D105" t="s">
        <v>1186</v>
      </c>
      <c r="E105" t="s">
        <v>22</v>
      </c>
      <c r="F105">
        <v>4</v>
      </c>
      <c r="H105" t="s">
        <v>23</v>
      </c>
      <c r="I105" t="s">
        <v>24</v>
      </c>
      <c r="J105" t="s">
        <v>1187</v>
      </c>
      <c r="K105" t="s">
        <v>1120</v>
      </c>
      <c r="L105">
        <v>2</v>
      </c>
      <c r="M105" t="s">
        <v>1188</v>
      </c>
      <c r="N105" t="s">
        <v>1034</v>
      </c>
      <c r="O105">
        <v>60</v>
      </c>
      <c r="P105">
        <f t="shared" si="5"/>
        <v>56.63</v>
      </c>
      <c r="Q105" t="s">
        <v>564</v>
      </c>
      <c r="R105">
        <v>6</v>
      </c>
      <c r="S105">
        <v>125</v>
      </c>
      <c r="T105" t="s">
        <v>1189</v>
      </c>
    </row>
    <row r="106" spans="1:20" x14ac:dyDescent="0.35">
      <c r="A106">
        <v>2</v>
      </c>
      <c r="B106">
        <v>3</v>
      </c>
      <c r="C106" t="s">
        <v>1174</v>
      </c>
      <c r="D106" t="s">
        <v>1190</v>
      </c>
      <c r="E106" t="s">
        <v>22</v>
      </c>
      <c r="F106">
        <v>8</v>
      </c>
      <c r="H106" t="s">
        <v>23</v>
      </c>
      <c r="I106" t="s">
        <v>24</v>
      </c>
      <c r="J106" t="s">
        <v>454</v>
      </c>
      <c r="K106" t="s">
        <v>361</v>
      </c>
      <c r="L106">
        <v>4</v>
      </c>
      <c r="M106" t="s">
        <v>134</v>
      </c>
      <c r="N106">
        <v>34</v>
      </c>
      <c r="O106">
        <v>50.1</v>
      </c>
      <c r="P106">
        <f t="shared" si="5"/>
        <v>46.730000000000004</v>
      </c>
      <c r="Q106" t="s">
        <v>1191</v>
      </c>
      <c r="R106">
        <v>5</v>
      </c>
      <c r="S106">
        <v>103</v>
      </c>
      <c r="T106" t="s">
        <v>572</v>
      </c>
    </row>
    <row r="107" spans="1:20" x14ac:dyDescent="0.35">
      <c r="A107">
        <v>2</v>
      </c>
      <c r="B107">
        <v>3</v>
      </c>
      <c r="C107" t="s">
        <v>1174</v>
      </c>
      <c r="D107" t="s">
        <v>1192</v>
      </c>
      <c r="E107" t="s">
        <v>22</v>
      </c>
      <c r="F107">
        <v>2</v>
      </c>
      <c r="H107" t="s">
        <v>23</v>
      </c>
      <c r="I107" t="s">
        <v>24</v>
      </c>
      <c r="J107" t="s">
        <v>368</v>
      </c>
      <c r="K107" t="s">
        <v>200</v>
      </c>
      <c r="L107">
        <v>4</v>
      </c>
      <c r="M107" t="s">
        <v>1193</v>
      </c>
      <c r="N107">
        <v>40</v>
      </c>
      <c r="O107">
        <v>15.6</v>
      </c>
      <c r="P107">
        <f t="shared" si="5"/>
        <v>12.23</v>
      </c>
      <c r="Q107" t="s">
        <v>252</v>
      </c>
      <c r="R107">
        <v>3</v>
      </c>
      <c r="S107">
        <v>36</v>
      </c>
      <c r="T107" t="s">
        <v>326</v>
      </c>
    </row>
    <row r="108" spans="1:20" x14ac:dyDescent="0.35">
      <c r="A108">
        <v>2</v>
      </c>
      <c r="B108">
        <v>3</v>
      </c>
      <c r="C108" t="s">
        <v>1174</v>
      </c>
      <c r="D108" t="s">
        <v>1194</v>
      </c>
      <c r="E108" t="s">
        <v>22</v>
      </c>
      <c r="F108">
        <v>1</v>
      </c>
      <c r="H108" t="s">
        <v>23</v>
      </c>
      <c r="I108" t="s">
        <v>24</v>
      </c>
      <c r="J108" t="s">
        <v>1195</v>
      </c>
      <c r="K108" t="s">
        <v>511</v>
      </c>
      <c r="L108">
        <v>2</v>
      </c>
      <c r="M108" t="s">
        <v>272</v>
      </c>
      <c r="N108" t="s">
        <v>445</v>
      </c>
      <c r="O108">
        <v>19.600000000000001</v>
      </c>
      <c r="P108">
        <f t="shared" si="5"/>
        <v>16.23</v>
      </c>
      <c r="Q108" t="s">
        <v>249</v>
      </c>
      <c r="R108">
        <v>5</v>
      </c>
      <c r="S108">
        <v>49</v>
      </c>
      <c r="T108" t="s">
        <v>564</v>
      </c>
    </row>
    <row r="109" spans="1:20" x14ac:dyDescent="0.35">
      <c r="A109">
        <v>2</v>
      </c>
      <c r="B109">
        <v>3</v>
      </c>
      <c r="C109" t="s">
        <v>1174</v>
      </c>
      <c r="D109" t="s">
        <v>1196</v>
      </c>
      <c r="E109" t="s">
        <v>22</v>
      </c>
      <c r="F109">
        <v>5</v>
      </c>
      <c r="H109" t="s">
        <v>23</v>
      </c>
      <c r="I109" t="s">
        <v>24</v>
      </c>
      <c r="J109" t="s">
        <v>1197</v>
      </c>
      <c r="K109" t="s">
        <v>753</v>
      </c>
      <c r="L109">
        <v>4</v>
      </c>
      <c r="M109" t="s">
        <v>1198</v>
      </c>
      <c r="N109" t="s">
        <v>666</v>
      </c>
      <c r="O109">
        <v>24.5</v>
      </c>
      <c r="P109">
        <f t="shared" si="5"/>
        <v>21.13</v>
      </c>
      <c r="Q109" t="s">
        <v>426</v>
      </c>
      <c r="R109">
        <v>4</v>
      </c>
      <c r="S109">
        <v>58</v>
      </c>
      <c r="T109" t="s">
        <v>806</v>
      </c>
    </row>
    <row r="110" spans="1:20" s="3" customFormat="1" x14ac:dyDescent="0.35">
      <c r="A110" s="3">
        <v>2</v>
      </c>
      <c r="B110" s="3">
        <v>3</v>
      </c>
      <c r="C110" s="3" t="s">
        <v>1174</v>
      </c>
      <c r="D110" s="3" t="s">
        <v>1199</v>
      </c>
      <c r="E110" s="3" t="s">
        <v>22</v>
      </c>
      <c r="H110" s="3" t="s">
        <v>23</v>
      </c>
      <c r="I110" s="3" t="s">
        <v>77</v>
      </c>
      <c r="J110" s="3" t="s">
        <v>78</v>
      </c>
      <c r="K110" s="3" t="s">
        <v>78</v>
      </c>
      <c r="L110" s="3">
        <v>2</v>
      </c>
      <c r="M110" s="3" t="s">
        <v>79</v>
      </c>
      <c r="N110" s="3" t="s">
        <v>80</v>
      </c>
      <c r="O110" s="3">
        <v>4.3</v>
      </c>
      <c r="P110" s="3">
        <f t="shared" si="5"/>
        <v>0.92999999999999972</v>
      </c>
      <c r="Q110" s="3">
        <v>5</v>
      </c>
      <c r="R110" s="3">
        <v>3</v>
      </c>
      <c r="S110" s="3">
        <v>125</v>
      </c>
      <c r="T110" s="3" t="s">
        <v>81</v>
      </c>
    </row>
    <row r="111" spans="1:20" x14ac:dyDescent="0.35">
      <c r="A111">
        <v>2</v>
      </c>
      <c r="B111">
        <v>3</v>
      </c>
      <c r="C111" t="s">
        <v>1174</v>
      </c>
      <c r="D111" t="s">
        <v>1200</v>
      </c>
      <c r="E111" t="s">
        <v>22</v>
      </c>
      <c r="F111">
        <v>3</v>
      </c>
      <c r="H111" t="s">
        <v>23</v>
      </c>
      <c r="I111" t="s">
        <v>24</v>
      </c>
      <c r="J111" t="s">
        <v>1201</v>
      </c>
      <c r="K111" t="s">
        <v>1202</v>
      </c>
      <c r="L111">
        <v>4</v>
      </c>
      <c r="M111" t="s">
        <v>1203</v>
      </c>
      <c r="N111" t="s">
        <v>1204</v>
      </c>
      <c r="O111">
        <v>48.3</v>
      </c>
      <c r="P111">
        <f t="shared" si="5"/>
        <v>44.93</v>
      </c>
      <c r="Q111" t="s">
        <v>1004</v>
      </c>
      <c r="R111">
        <v>7</v>
      </c>
      <c r="S111">
        <v>91</v>
      </c>
      <c r="T111" t="s">
        <v>107</v>
      </c>
    </row>
    <row r="114" spans="13:15" x14ac:dyDescent="0.35">
      <c r="M114" t="s">
        <v>684</v>
      </c>
      <c r="O114">
        <v>3.37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94"/>
  <sheetViews>
    <sheetView tabSelected="1" zoomScaleNormal="100" workbookViewId="0">
      <pane ySplit="1" topLeftCell="A47" activePane="bottomLeft" state="frozen"/>
      <selection pane="bottomLeft" activeCell="L26" sqref="L26"/>
    </sheetView>
  </sheetViews>
  <sheetFormatPr defaultColWidth="8.6328125"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s="2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1</v>
      </c>
      <c r="B2">
        <v>1</v>
      </c>
      <c r="C2" t="s">
        <v>1205</v>
      </c>
      <c r="D2" t="s">
        <v>1206</v>
      </c>
      <c r="E2" t="s">
        <v>22</v>
      </c>
      <c r="F2">
        <v>3</v>
      </c>
      <c r="H2" t="s">
        <v>23</v>
      </c>
      <c r="I2" t="s">
        <v>24</v>
      </c>
      <c r="J2" t="s">
        <v>1207</v>
      </c>
      <c r="K2" t="s">
        <v>300</v>
      </c>
      <c r="L2">
        <v>4</v>
      </c>
      <c r="M2" t="s">
        <v>1208</v>
      </c>
      <c r="N2" t="s">
        <v>1209</v>
      </c>
      <c r="O2">
        <v>8.6999999999999993</v>
      </c>
      <c r="P2">
        <f>O2-$O$94</f>
        <v>5.3299999999999992</v>
      </c>
      <c r="Q2" t="s">
        <v>197</v>
      </c>
      <c r="R2">
        <v>3</v>
      </c>
      <c r="S2">
        <v>21</v>
      </c>
      <c r="T2" t="s">
        <v>36</v>
      </c>
    </row>
    <row r="3" spans="1:20" x14ac:dyDescent="0.35">
      <c r="A3">
        <v>1</v>
      </c>
      <c r="B3">
        <v>1</v>
      </c>
      <c r="C3" t="s">
        <v>1205</v>
      </c>
      <c r="D3" t="s">
        <v>1210</v>
      </c>
      <c r="E3" t="s">
        <v>22</v>
      </c>
      <c r="F3">
        <v>4</v>
      </c>
      <c r="H3" t="s">
        <v>23</v>
      </c>
      <c r="I3" t="s">
        <v>24</v>
      </c>
      <c r="J3" t="s">
        <v>1211</v>
      </c>
      <c r="K3" t="s">
        <v>366</v>
      </c>
      <c r="L3">
        <v>4</v>
      </c>
      <c r="M3" t="s">
        <v>1212</v>
      </c>
      <c r="N3" t="s">
        <v>1213</v>
      </c>
      <c r="O3">
        <v>15.8</v>
      </c>
      <c r="P3">
        <f>O3-$O$94</f>
        <v>12.43</v>
      </c>
      <c r="Q3" t="s">
        <v>268</v>
      </c>
      <c r="R3">
        <v>4</v>
      </c>
      <c r="S3">
        <v>37</v>
      </c>
      <c r="T3" t="s">
        <v>326</v>
      </c>
    </row>
    <row r="4" spans="1:20" x14ac:dyDescent="0.35">
      <c r="A4">
        <v>1</v>
      </c>
      <c r="B4">
        <v>1</v>
      </c>
      <c r="C4" t="s">
        <v>1205</v>
      </c>
      <c r="D4" t="s">
        <v>1214</v>
      </c>
      <c r="E4" t="s">
        <v>22</v>
      </c>
      <c r="H4" t="s">
        <v>23</v>
      </c>
      <c r="I4" t="s">
        <v>77</v>
      </c>
      <c r="J4" t="s">
        <v>78</v>
      </c>
      <c r="K4" t="s">
        <v>78</v>
      </c>
      <c r="L4">
        <v>4</v>
      </c>
      <c r="M4" t="s">
        <v>79</v>
      </c>
      <c r="N4" t="s">
        <v>80</v>
      </c>
      <c r="O4">
        <v>4</v>
      </c>
      <c r="P4">
        <f>O4-$O$94</f>
        <v>0.62999999999999989</v>
      </c>
      <c r="Q4" t="s">
        <v>41</v>
      </c>
      <c r="R4">
        <v>3</v>
      </c>
      <c r="S4">
        <v>46</v>
      </c>
      <c r="T4" t="s">
        <v>81</v>
      </c>
    </row>
    <row r="5" spans="1:20" x14ac:dyDescent="0.35">
      <c r="A5">
        <v>1</v>
      </c>
      <c r="B5">
        <v>1</v>
      </c>
      <c r="C5" t="s">
        <v>1205</v>
      </c>
      <c r="D5" t="s">
        <v>1215</v>
      </c>
      <c r="E5" t="s">
        <v>22</v>
      </c>
      <c r="F5">
        <v>1</v>
      </c>
      <c r="H5" t="s">
        <v>23</v>
      </c>
      <c r="I5" t="s">
        <v>24</v>
      </c>
      <c r="J5">
        <v>123</v>
      </c>
      <c r="K5" t="s">
        <v>1216</v>
      </c>
      <c r="L5">
        <v>4</v>
      </c>
      <c r="M5" t="s">
        <v>229</v>
      </c>
      <c r="N5" t="s">
        <v>398</v>
      </c>
      <c r="O5">
        <v>9.1999999999999993</v>
      </c>
      <c r="P5">
        <f>O5-$O$94</f>
        <v>5.8299999999999992</v>
      </c>
      <c r="Q5" t="s">
        <v>29</v>
      </c>
      <c r="R5">
        <v>3</v>
      </c>
      <c r="S5">
        <v>24</v>
      </c>
      <c r="T5" t="s">
        <v>189</v>
      </c>
    </row>
    <row r="6" spans="1:20" x14ac:dyDescent="0.35">
      <c r="A6">
        <v>1</v>
      </c>
      <c r="B6">
        <v>1</v>
      </c>
      <c r="C6" t="s">
        <v>1205</v>
      </c>
      <c r="D6" t="s">
        <v>1217</v>
      </c>
      <c r="E6" t="s">
        <v>22</v>
      </c>
      <c r="F6">
        <v>2</v>
      </c>
      <c r="H6" t="s">
        <v>23</v>
      </c>
      <c r="I6" t="s">
        <v>24</v>
      </c>
      <c r="J6" t="s">
        <v>1218</v>
      </c>
      <c r="K6" t="s">
        <v>557</v>
      </c>
      <c r="L6">
        <v>4</v>
      </c>
      <c r="M6" t="s">
        <v>1219</v>
      </c>
      <c r="N6" t="s">
        <v>120</v>
      </c>
      <c r="O6">
        <v>17.2</v>
      </c>
      <c r="P6">
        <f>O6-$O$94</f>
        <v>13.829999999999998</v>
      </c>
      <c r="Q6" t="s">
        <v>48</v>
      </c>
      <c r="R6">
        <v>6</v>
      </c>
      <c r="S6">
        <v>46</v>
      </c>
      <c r="T6" t="s">
        <v>49</v>
      </c>
    </row>
    <row r="8" spans="1:20" x14ac:dyDescent="0.35"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t="s">
        <v>14</v>
      </c>
      <c r="Q8" t="s">
        <v>16</v>
      </c>
      <c r="R8" t="s">
        <v>17</v>
      </c>
      <c r="S8" t="s">
        <v>18</v>
      </c>
      <c r="T8" t="s">
        <v>19</v>
      </c>
    </row>
    <row r="9" spans="1:20" x14ac:dyDescent="0.35">
      <c r="A9">
        <v>1</v>
      </c>
      <c r="B9">
        <v>2</v>
      </c>
      <c r="C9" t="s">
        <v>1220</v>
      </c>
      <c r="D9" t="s">
        <v>1221</v>
      </c>
      <c r="E9" t="s">
        <v>22</v>
      </c>
      <c r="F9">
        <v>6</v>
      </c>
      <c r="H9" t="s">
        <v>23</v>
      </c>
      <c r="I9" t="s">
        <v>24</v>
      </c>
      <c r="J9" t="s">
        <v>186</v>
      </c>
      <c r="K9" t="s">
        <v>1222</v>
      </c>
      <c r="L9">
        <v>1</v>
      </c>
      <c r="M9" t="s">
        <v>1223</v>
      </c>
      <c r="N9" t="s">
        <v>855</v>
      </c>
      <c r="O9">
        <v>27.4</v>
      </c>
      <c r="P9">
        <f t="shared" ref="P9:P36" si="0">O9-$O$94</f>
        <v>24.029999999999998</v>
      </c>
      <c r="Q9" t="s">
        <v>563</v>
      </c>
      <c r="R9">
        <v>4</v>
      </c>
      <c r="S9">
        <v>66</v>
      </c>
      <c r="T9" t="s">
        <v>143</v>
      </c>
    </row>
    <row r="10" spans="1:20" x14ac:dyDescent="0.35">
      <c r="A10">
        <v>1</v>
      </c>
      <c r="B10">
        <v>2</v>
      </c>
      <c r="C10" t="s">
        <v>1220</v>
      </c>
      <c r="D10" t="s">
        <v>1224</v>
      </c>
      <c r="E10" t="s">
        <v>22</v>
      </c>
      <c r="F10">
        <v>14</v>
      </c>
      <c r="H10" t="s">
        <v>23</v>
      </c>
      <c r="I10" t="s">
        <v>24</v>
      </c>
      <c r="J10" t="s">
        <v>47</v>
      </c>
      <c r="K10">
        <v>173</v>
      </c>
      <c r="L10">
        <v>1</v>
      </c>
      <c r="M10" t="s">
        <v>297</v>
      </c>
      <c r="N10" t="s">
        <v>1080</v>
      </c>
      <c r="O10">
        <v>19.600000000000001</v>
      </c>
      <c r="P10">
        <f t="shared" si="0"/>
        <v>16.23</v>
      </c>
      <c r="Q10">
        <v>7</v>
      </c>
      <c r="R10">
        <v>3</v>
      </c>
      <c r="S10">
        <v>46</v>
      </c>
      <c r="T10" t="s">
        <v>564</v>
      </c>
    </row>
    <row r="11" spans="1:20" x14ac:dyDescent="0.35">
      <c r="A11">
        <v>1</v>
      </c>
      <c r="B11">
        <v>2</v>
      </c>
      <c r="C11" t="s">
        <v>1220</v>
      </c>
      <c r="D11" t="s">
        <v>1225</v>
      </c>
      <c r="E11" t="s">
        <v>22</v>
      </c>
      <c r="F11">
        <v>6</v>
      </c>
      <c r="H11" t="s">
        <v>23</v>
      </c>
      <c r="I11" t="s">
        <v>24</v>
      </c>
      <c r="J11" t="s">
        <v>1226</v>
      </c>
      <c r="K11" t="s">
        <v>888</v>
      </c>
      <c r="L11">
        <v>4</v>
      </c>
      <c r="M11" t="s">
        <v>1227</v>
      </c>
      <c r="N11" t="s">
        <v>1228</v>
      </c>
      <c r="O11">
        <v>35.9</v>
      </c>
      <c r="P11">
        <f t="shared" si="0"/>
        <v>32.53</v>
      </c>
      <c r="Q11">
        <v>15</v>
      </c>
      <c r="R11">
        <v>5</v>
      </c>
      <c r="S11">
        <v>102</v>
      </c>
      <c r="T11" t="s">
        <v>790</v>
      </c>
    </row>
    <row r="12" spans="1:20" x14ac:dyDescent="0.35">
      <c r="A12">
        <v>1</v>
      </c>
      <c r="B12">
        <v>2</v>
      </c>
      <c r="C12" t="s">
        <v>1220</v>
      </c>
      <c r="D12" t="s">
        <v>1229</v>
      </c>
      <c r="E12" t="s">
        <v>22</v>
      </c>
      <c r="H12" t="s">
        <v>23</v>
      </c>
      <c r="I12" t="s">
        <v>77</v>
      </c>
      <c r="J12" t="s">
        <v>78</v>
      </c>
      <c r="K12" t="s">
        <v>78</v>
      </c>
      <c r="L12">
        <v>4</v>
      </c>
      <c r="M12" t="s">
        <v>79</v>
      </c>
      <c r="N12" t="s">
        <v>80</v>
      </c>
      <c r="O12">
        <v>6.4</v>
      </c>
      <c r="P12">
        <f t="shared" si="0"/>
        <v>3.0300000000000002</v>
      </c>
      <c r="Q12" t="s">
        <v>458</v>
      </c>
      <c r="R12">
        <v>3</v>
      </c>
      <c r="S12">
        <v>231</v>
      </c>
      <c r="T12" t="s">
        <v>55</v>
      </c>
    </row>
    <row r="13" spans="1:20" x14ac:dyDescent="0.35">
      <c r="A13">
        <v>1</v>
      </c>
      <c r="B13">
        <v>2</v>
      </c>
      <c r="C13" t="s">
        <v>1220</v>
      </c>
      <c r="D13" t="s">
        <v>1230</v>
      </c>
      <c r="E13" t="s">
        <v>22</v>
      </c>
      <c r="F13">
        <v>4</v>
      </c>
      <c r="H13" t="s">
        <v>23</v>
      </c>
      <c r="I13" t="s">
        <v>24</v>
      </c>
      <c r="J13" t="s">
        <v>232</v>
      </c>
      <c r="K13" t="s">
        <v>1231</v>
      </c>
      <c r="L13">
        <v>4</v>
      </c>
      <c r="M13" t="s">
        <v>1232</v>
      </c>
      <c r="N13" t="s">
        <v>1233</v>
      </c>
      <c r="O13">
        <v>10.8</v>
      </c>
      <c r="P13">
        <f t="shared" si="0"/>
        <v>7.4300000000000006</v>
      </c>
      <c r="Q13" t="s">
        <v>460</v>
      </c>
      <c r="R13">
        <v>3</v>
      </c>
      <c r="S13">
        <v>29</v>
      </c>
      <c r="T13" t="s">
        <v>198</v>
      </c>
    </row>
    <row r="14" spans="1:20" x14ac:dyDescent="0.35">
      <c r="A14">
        <v>1</v>
      </c>
      <c r="B14">
        <v>2</v>
      </c>
      <c r="C14" t="s">
        <v>1220</v>
      </c>
      <c r="D14" t="s">
        <v>1234</v>
      </c>
      <c r="E14" t="s">
        <v>22</v>
      </c>
      <c r="F14">
        <v>14</v>
      </c>
      <c r="H14" t="s">
        <v>23</v>
      </c>
      <c r="I14" t="s">
        <v>24</v>
      </c>
      <c r="J14" t="s">
        <v>841</v>
      </c>
      <c r="K14" t="s">
        <v>1235</v>
      </c>
      <c r="L14">
        <v>4</v>
      </c>
      <c r="M14" t="s">
        <v>1236</v>
      </c>
      <c r="N14" t="s">
        <v>158</v>
      </c>
      <c r="O14">
        <v>19.899999999999999</v>
      </c>
      <c r="P14">
        <f t="shared" si="0"/>
        <v>16.529999999999998</v>
      </c>
      <c r="Q14" t="s">
        <v>1237</v>
      </c>
      <c r="R14">
        <v>4</v>
      </c>
      <c r="S14">
        <v>66</v>
      </c>
      <c r="T14" t="s">
        <v>564</v>
      </c>
    </row>
    <row r="15" spans="1:20" x14ac:dyDescent="0.35">
      <c r="A15">
        <v>1</v>
      </c>
      <c r="B15">
        <v>2</v>
      </c>
      <c r="C15" t="s">
        <v>1220</v>
      </c>
      <c r="D15" t="s">
        <v>1238</v>
      </c>
      <c r="E15" t="s">
        <v>22</v>
      </c>
      <c r="F15">
        <v>2</v>
      </c>
      <c r="H15" t="s">
        <v>23</v>
      </c>
      <c r="I15" t="s">
        <v>24</v>
      </c>
      <c r="J15" t="s">
        <v>656</v>
      </c>
      <c r="K15" t="s">
        <v>1239</v>
      </c>
      <c r="L15">
        <v>2</v>
      </c>
      <c r="M15" t="s">
        <v>756</v>
      </c>
      <c r="N15" t="s">
        <v>325</v>
      </c>
      <c r="O15">
        <v>11.7</v>
      </c>
      <c r="P15">
        <f t="shared" si="0"/>
        <v>8.3299999999999983</v>
      </c>
      <c r="Q15">
        <v>4</v>
      </c>
      <c r="R15">
        <v>4</v>
      </c>
      <c r="S15">
        <v>32</v>
      </c>
      <c r="T15" t="s">
        <v>109</v>
      </c>
    </row>
    <row r="16" spans="1:20" x14ac:dyDescent="0.35">
      <c r="A16">
        <v>1</v>
      </c>
      <c r="B16">
        <v>2</v>
      </c>
      <c r="C16" t="s">
        <v>1220</v>
      </c>
      <c r="D16" t="s">
        <v>1240</v>
      </c>
      <c r="E16" t="s">
        <v>22</v>
      </c>
      <c r="F16">
        <v>21</v>
      </c>
      <c r="H16" t="s">
        <v>23</v>
      </c>
      <c r="I16" t="s">
        <v>24</v>
      </c>
      <c r="J16" t="s">
        <v>1241</v>
      </c>
      <c r="K16">
        <v>156</v>
      </c>
      <c r="L16">
        <v>2</v>
      </c>
      <c r="M16">
        <v>130</v>
      </c>
      <c r="N16" t="s">
        <v>794</v>
      </c>
      <c r="O16">
        <v>25.8</v>
      </c>
      <c r="P16">
        <f t="shared" si="0"/>
        <v>22.43</v>
      </c>
      <c r="Q16" t="s">
        <v>579</v>
      </c>
      <c r="R16">
        <v>3</v>
      </c>
      <c r="S16">
        <v>71</v>
      </c>
      <c r="T16" t="s">
        <v>806</v>
      </c>
    </row>
    <row r="17" spans="1:20" x14ac:dyDescent="0.35">
      <c r="A17">
        <v>1</v>
      </c>
      <c r="B17">
        <v>2</v>
      </c>
      <c r="C17" t="s">
        <v>1220</v>
      </c>
      <c r="D17" t="s">
        <v>1242</v>
      </c>
      <c r="E17" t="s">
        <v>22</v>
      </c>
      <c r="F17">
        <v>9</v>
      </c>
      <c r="H17" t="s">
        <v>23</v>
      </c>
      <c r="I17" t="s">
        <v>24</v>
      </c>
      <c r="J17" t="s">
        <v>1243</v>
      </c>
      <c r="K17" t="s">
        <v>443</v>
      </c>
      <c r="L17">
        <v>4</v>
      </c>
      <c r="M17" t="s">
        <v>1201</v>
      </c>
      <c r="N17">
        <v>40</v>
      </c>
      <c r="O17">
        <v>8.9</v>
      </c>
      <c r="P17">
        <f t="shared" si="0"/>
        <v>5.53</v>
      </c>
      <c r="Q17" t="s">
        <v>203</v>
      </c>
      <c r="R17">
        <v>3</v>
      </c>
      <c r="S17">
        <v>21</v>
      </c>
      <c r="T17" t="s">
        <v>189</v>
      </c>
    </row>
    <row r="18" spans="1:20" x14ac:dyDescent="0.35">
      <c r="A18">
        <v>1</v>
      </c>
      <c r="B18">
        <v>2</v>
      </c>
      <c r="C18" t="s">
        <v>1220</v>
      </c>
      <c r="D18" t="s">
        <v>1244</v>
      </c>
      <c r="E18" t="s">
        <v>22</v>
      </c>
      <c r="F18">
        <v>9</v>
      </c>
      <c r="H18" t="s">
        <v>23</v>
      </c>
      <c r="I18" t="s">
        <v>24</v>
      </c>
      <c r="J18" t="s">
        <v>1245</v>
      </c>
      <c r="K18" t="s">
        <v>1246</v>
      </c>
      <c r="L18">
        <v>1</v>
      </c>
      <c r="M18" t="s">
        <v>1247</v>
      </c>
      <c r="N18" t="s">
        <v>1248</v>
      </c>
      <c r="O18">
        <v>8.5</v>
      </c>
      <c r="P18">
        <f t="shared" si="0"/>
        <v>5.13</v>
      </c>
      <c r="Q18" t="s">
        <v>141</v>
      </c>
      <c r="R18">
        <v>3</v>
      </c>
      <c r="S18">
        <v>20</v>
      </c>
      <c r="T18" t="s">
        <v>36</v>
      </c>
    </row>
    <row r="19" spans="1:20" x14ac:dyDescent="0.35">
      <c r="A19">
        <v>1</v>
      </c>
      <c r="B19">
        <v>2</v>
      </c>
      <c r="C19" t="s">
        <v>1220</v>
      </c>
      <c r="D19" t="s">
        <v>1249</v>
      </c>
      <c r="E19" t="s">
        <v>22</v>
      </c>
      <c r="F19">
        <v>7</v>
      </c>
      <c r="H19" t="s">
        <v>23</v>
      </c>
      <c r="I19" t="s">
        <v>24</v>
      </c>
      <c r="J19">
        <v>148</v>
      </c>
      <c r="K19" t="s">
        <v>1250</v>
      </c>
      <c r="L19">
        <v>4</v>
      </c>
      <c r="M19" t="s">
        <v>162</v>
      </c>
      <c r="N19" t="s">
        <v>113</v>
      </c>
      <c r="O19">
        <v>23.5</v>
      </c>
      <c r="P19">
        <f t="shared" si="0"/>
        <v>20.13</v>
      </c>
      <c r="Q19" t="s">
        <v>639</v>
      </c>
      <c r="R19">
        <v>7</v>
      </c>
      <c r="S19">
        <v>47</v>
      </c>
      <c r="T19" t="s">
        <v>520</v>
      </c>
    </row>
    <row r="20" spans="1:20" x14ac:dyDescent="0.35">
      <c r="A20">
        <v>1</v>
      </c>
      <c r="B20">
        <v>2</v>
      </c>
      <c r="C20" t="s">
        <v>1220</v>
      </c>
      <c r="D20" t="s">
        <v>1251</v>
      </c>
      <c r="E20" t="s">
        <v>22</v>
      </c>
      <c r="F20">
        <v>2</v>
      </c>
      <c r="H20" t="s">
        <v>23</v>
      </c>
      <c r="I20" t="s">
        <v>24</v>
      </c>
      <c r="J20" t="s">
        <v>1252</v>
      </c>
      <c r="K20" t="s">
        <v>721</v>
      </c>
      <c r="L20">
        <v>4</v>
      </c>
      <c r="M20" t="s">
        <v>1252</v>
      </c>
      <c r="N20" t="s">
        <v>1253</v>
      </c>
      <c r="O20">
        <v>18.3</v>
      </c>
      <c r="P20">
        <f t="shared" si="0"/>
        <v>14.93</v>
      </c>
      <c r="Q20">
        <v>7</v>
      </c>
      <c r="R20">
        <v>4</v>
      </c>
      <c r="S20">
        <v>46</v>
      </c>
      <c r="T20" t="s">
        <v>49</v>
      </c>
    </row>
    <row r="21" spans="1:20" x14ac:dyDescent="0.35">
      <c r="A21">
        <v>1</v>
      </c>
      <c r="B21">
        <v>2</v>
      </c>
      <c r="C21" t="s">
        <v>1220</v>
      </c>
      <c r="D21" t="s">
        <v>1254</v>
      </c>
      <c r="E21" t="s">
        <v>22</v>
      </c>
      <c r="F21">
        <v>16</v>
      </c>
      <c r="H21" t="s">
        <v>23</v>
      </c>
      <c r="I21" t="s">
        <v>24</v>
      </c>
      <c r="J21" t="s">
        <v>125</v>
      </c>
      <c r="K21" t="s">
        <v>1255</v>
      </c>
      <c r="L21">
        <v>2</v>
      </c>
      <c r="M21" t="s">
        <v>1256</v>
      </c>
      <c r="N21" t="s">
        <v>1257</v>
      </c>
      <c r="O21">
        <v>19.3</v>
      </c>
      <c r="P21">
        <f t="shared" si="0"/>
        <v>15.93</v>
      </c>
      <c r="Q21" t="s">
        <v>1243</v>
      </c>
      <c r="R21">
        <v>3</v>
      </c>
      <c r="S21">
        <v>56</v>
      </c>
      <c r="T21" t="s">
        <v>498</v>
      </c>
    </row>
    <row r="22" spans="1:20" x14ac:dyDescent="0.35">
      <c r="A22">
        <v>1</v>
      </c>
      <c r="B22">
        <v>2</v>
      </c>
      <c r="C22" t="s">
        <v>1220</v>
      </c>
      <c r="D22" t="s">
        <v>1258</v>
      </c>
      <c r="E22" t="s">
        <v>22</v>
      </c>
      <c r="H22" t="s">
        <v>23</v>
      </c>
      <c r="I22" t="s">
        <v>77</v>
      </c>
      <c r="J22" t="s">
        <v>78</v>
      </c>
      <c r="K22" t="s">
        <v>78</v>
      </c>
      <c r="L22">
        <v>1</v>
      </c>
      <c r="M22" t="s">
        <v>79</v>
      </c>
      <c r="N22" t="s">
        <v>80</v>
      </c>
      <c r="O22">
        <v>6.1</v>
      </c>
      <c r="P22">
        <f t="shared" si="0"/>
        <v>2.7299999999999995</v>
      </c>
      <c r="Q22" t="s">
        <v>880</v>
      </c>
      <c r="R22">
        <v>3</v>
      </c>
      <c r="S22">
        <v>74</v>
      </c>
      <c r="T22" t="s">
        <v>55</v>
      </c>
    </row>
    <row r="23" spans="1:20" x14ac:dyDescent="0.35">
      <c r="A23">
        <v>1</v>
      </c>
      <c r="B23">
        <v>2</v>
      </c>
      <c r="C23" t="s">
        <v>1220</v>
      </c>
      <c r="D23" t="s">
        <v>1259</v>
      </c>
      <c r="E23" t="s">
        <v>22</v>
      </c>
      <c r="F23">
        <v>15</v>
      </c>
      <c r="H23" t="s">
        <v>23</v>
      </c>
      <c r="I23" t="s">
        <v>24</v>
      </c>
      <c r="J23" t="s">
        <v>1260</v>
      </c>
      <c r="K23">
        <v>179</v>
      </c>
      <c r="L23">
        <v>1</v>
      </c>
      <c r="M23" t="s">
        <v>1261</v>
      </c>
      <c r="N23" t="s">
        <v>926</v>
      </c>
      <c r="O23">
        <v>17.899999999999999</v>
      </c>
      <c r="P23">
        <f t="shared" si="0"/>
        <v>14.529999999999998</v>
      </c>
      <c r="Q23" t="s">
        <v>778</v>
      </c>
      <c r="R23">
        <v>0</v>
      </c>
      <c r="S23">
        <v>44</v>
      </c>
      <c r="T23" t="s">
        <v>49</v>
      </c>
    </row>
    <row r="24" spans="1:20" x14ac:dyDescent="0.35">
      <c r="A24">
        <v>1</v>
      </c>
      <c r="B24">
        <v>2</v>
      </c>
      <c r="C24" t="s">
        <v>1220</v>
      </c>
      <c r="D24" t="s">
        <v>1262</v>
      </c>
      <c r="E24" t="s">
        <v>22</v>
      </c>
      <c r="F24">
        <v>5</v>
      </c>
      <c r="H24" t="s">
        <v>23</v>
      </c>
      <c r="I24" t="s">
        <v>24</v>
      </c>
      <c r="J24" t="s">
        <v>792</v>
      </c>
      <c r="K24" t="s">
        <v>1263</v>
      </c>
      <c r="L24">
        <v>4</v>
      </c>
      <c r="M24" t="s">
        <v>1264</v>
      </c>
      <c r="N24">
        <v>43</v>
      </c>
      <c r="O24">
        <v>15.6</v>
      </c>
      <c r="P24">
        <f t="shared" si="0"/>
        <v>12.23</v>
      </c>
      <c r="Q24" t="s">
        <v>856</v>
      </c>
      <c r="R24">
        <v>5</v>
      </c>
      <c r="S24">
        <v>33</v>
      </c>
      <c r="T24" t="s">
        <v>326</v>
      </c>
    </row>
    <row r="25" spans="1:20" x14ac:dyDescent="0.35">
      <c r="A25">
        <v>1</v>
      </c>
      <c r="B25">
        <v>2</v>
      </c>
      <c r="C25" t="s">
        <v>1220</v>
      </c>
      <c r="D25" t="s">
        <v>1265</v>
      </c>
      <c r="E25" t="s">
        <v>22</v>
      </c>
      <c r="F25">
        <v>12</v>
      </c>
      <c r="H25" t="s">
        <v>23</v>
      </c>
      <c r="I25" t="s">
        <v>24</v>
      </c>
      <c r="J25" t="s">
        <v>1266</v>
      </c>
      <c r="K25" t="s">
        <v>308</v>
      </c>
      <c r="L25">
        <v>4</v>
      </c>
      <c r="M25" t="s">
        <v>1267</v>
      </c>
      <c r="N25" t="s">
        <v>135</v>
      </c>
      <c r="O25">
        <v>14.5</v>
      </c>
      <c r="P25">
        <f t="shared" si="0"/>
        <v>11.129999999999999</v>
      </c>
      <c r="Q25" t="s">
        <v>88</v>
      </c>
      <c r="R25">
        <v>5</v>
      </c>
      <c r="S25">
        <v>36</v>
      </c>
      <c r="T25" t="s">
        <v>253</v>
      </c>
    </row>
    <row r="26" spans="1:20" x14ac:dyDescent="0.35">
      <c r="A26">
        <v>1</v>
      </c>
      <c r="B26">
        <v>2</v>
      </c>
      <c r="C26" t="s">
        <v>1220</v>
      </c>
      <c r="D26" t="s">
        <v>1268</v>
      </c>
      <c r="E26" t="s">
        <v>22</v>
      </c>
      <c r="F26">
        <v>19</v>
      </c>
      <c r="H26" t="s">
        <v>23</v>
      </c>
      <c r="I26" t="s">
        <v>24</v>
      </c>
      <c r="J26" t="s">
        <v>1269</v>
      </c>
      <c r="K26" t="s">
        <v>633</v>
      </c>
      <c r="L26">
        <v>2</v>
      </c>
      <c r="M26">
        <v>144</v>
      </c>
      <c r="N26" t="s">
        <v>47</v>
      </c>
      <c r="O26">
        <v>19.600000000000001</v>
      </c>
      <c r="P26">
        <f t="shared" si="0"/>
        <v>16.23</v>
      </c>
      <c r="Q26" t="s">
        <v>679</v>
      </c>
      <c r="R26">
        <v>4</v>
      </c>
      <c r="S26">
        <v>74</v>
      </c>
      <c r="T26" t="s">
        <v>498</v>
      </c>
    </row>
    <row r="27" spans="1:20" x14ac:dyDescent="0.35">
      <c r="A27">
        <v>1</v>
      </c>
      <c r="B27">
        <v>2</v>
      </c>
      <c r="C27" t="s">
        <v>1220</v>
      </c>
      <c r="D27" t="s">
        <v>1270</v>
      </c>
      <c r="E27" t="s">
        <v>22</v>
      </c>
      <c r="F27">
        <v>8</v>
      </c>
      <c r="H27" t="s">
        <v>23</v>
      </c>
      <c r="I27" t="s">
        <v>24</v>
      </c>
      <c r="J27" t="s">
        <v>308</v>
      </c>
      <c r="K27" t="s">
        <v>1271</v>
      </c>
      <c r="L27">
        <v>4</v>
      </c>
      <c r="M27">
        <v>90</v>
      </c>
      <c r="N27" t="s">
        <v>1272</v>
      </c>
      <c r="O27">
        <v>9.8000000000000007</v>
      </c>
      <c r="P27">
        <f t="shared" si="0"/>
        <v>6.4300000000000006</v>
      </c>
      <c r="Q27" t="s">
        <v>159</v>
      </c>
      <c r="R27">
        <v>3</v>
      </c>
      <c r="S27">
        <v>25</v>
      </c>
      <c r="T27" t="s">
        <v>189</v>
      </c>
    </row>
    <row r="28" spans="1:20" x14ac:dyDescent="0.35">
      <c r="A28">
        <v>1</v>
      </c>
      <c r="B28">
        <v>2</v>
      </c>
      <c r="C28" t="s">
        <v>1220</v>
      </c>
      <c r="D28" t="s">
        <v>1273</v>
      </c>
      <c r="E28" t="s">
        <v>22</v>
      </c>
      <c r="F28">
        <v>11</v>
      </c>
      <c r="H28" t="s">
        <v>23</v>
      </c>
      <c r="I28" t="s">
        <v>24</v>
      </c>
      <c r="J28" t="s">
        <v>1274</v>
      </c>
      <c r="K28" t="s">
        <v>1275</v>
      </c>
      <c r="L28">
        <v>1</v>
      </c>
      <c r="M28" s="6" t="s">
        <v>1276</v>
      </c>
      <c r="N28" t="s">
        <v>1277</v>
      </c>
      <c r="O28">
        <v>23.1</v>
      </c>
      <c r="P28">
        <f t="shared" si="0"/>
        <v>19.73</v>
      </c>
      <c r="Q28" t="s">
        <v>1161</v>
      </c>
      <c r="R28">
        <v>3</v>
      </c>
      <c r="S28">
        <v>72</v>
      </c>
      <c r="T28" t="s">
        <v>555</v>
      </c>
    </row>
    <row r="29" spans="1:20" x14ac:dyDescent="0.35">
      <c r="A29">
        <v>1</v>
      </c>
      <c r="B29">
        <v>2</v>
      </c>
      <c r="C29" t="s">
        <v>1220</v>
      </c>
      <c r="D29" t="s">
        <v>1278</v>
      </c>
      <c r="E29" t="s">
        <v>22</v>
      </c>
      <c r="F29">
        <v>16</v>
      </c>
      <c r="H29" t="s">
        <v>23</v>
      </c>
      <c r="I29" t="s">
        <v>24</v>
      </c>
      <c r="J29" t="s">
        <v>341</v>
      </c>
      <c r="K29" t="s">
        <v>1279</v>
      </c>
      <c r="L29">
        <v>4</v>
      </c>
      <c r="M29" t="s">
        <v>1280</v>
      </c>
      <c r="N29" t="s">
        <v>398</v>
      </c>
      <c r="O29">
        <v>44.7</v>
      </c>
      <c r="P29">
        <f t="shared" si="0"/>
        <v>41.330000000000005</v>
      </c>
      <c r="Q29" t="s">
        <v>1182</v>
      </c>
      <c r="R29">
        <v>7</v>
      </c>
      <c r="S29">
        <v>103</v>
      </c>
      <c r="T29" t="s">
        <v>359</v>
      </c>
    </row>
    <row r="30" spans="1:20" x14ac:dyDescent="0.35">
      <c r="A30">
        <v>1</v>
      </c>
      <c r="B30">
        <v>2</v>
      </c>
      <c r="C30" t="s">
        <v>1220</v>
      </c>
      <c r="D30" t="s">
        <v>1281</v>
      </c>
      <c r="E30" t="s">
        <v>22</v>
      </c>
      <c r="F30">
        <v>13</v>
      </c>
      <c r="H30" t="s">
        <v>23</v>
      </c>
      <c r="I30" t="s">
        <v>24</v>
      </c>
      <c r="J30" t="s">
        <v>249</v>
      </c>
      <c r="K30" t="s">
        <v>1282</v>
      </c>
      <c r="L30">
        <v>4</v>
      </c>
      <c r="M30" t="s">
        <v>1283</v>
      </c>
      <c r="N30" t="s">
        <v>1284</v>
      </c>
      <c r="O30">
        <v>7.9</v>
      </c>
      <c r="P30">
        <f t="shared" si="0"/>
        <v>4.53</v>
      </c>
      <c r="Q30" t="s">
        <v>75</v>
      </c>
      <c r="R30">
        <v>3</v>
      </c>
      <c r="S30">
        <v>18</v>
      </c>
      <c r="T30" t="s">
        <v>36</v>
      </c>
    </row>
    <row r="31" spans="1:20" x14ac:dyDescent="0.35">
      <c r="A31">
        <v>1</v>
      </c>
      <c r="B31">
        <v>2</v>
      </c>
      <c r="C31" t="s">
        <v>1220</v>
      </c>
      <c r="D31" t="s">
        <v>1285</v>
      </c>
      <c r="E31" t="s">
        <v>22</v>
      </c>
      <c r="F31">
        <v>10</v>
      </c>
      <c r="H31" t="s">
        <v>23</v>
      </c>
      <c r="I31" t="s">
        <v>24</v>
      </c>
      <c r="J31" t="s">
        <v>1286</v>
      </c>
      <c r="K31" t="s">
        <v>1085</v>
      </c>
      <c r="L31">
        <v>4</v>
      </c>
      <c r="M31" t="s">
        <v>1287</v>
      </c>
      <c r="N31" t="s">
        <v>1058</v>
      </c>
      <c r="O31">
        <v>15.1</v>
      </c>
      <c r="P31">
        <f t="shared" si="0"/>
        <v>11.73</v>
      </c>
      <c r="Q31" t="s">
        <v>856</v>
      </c>
      <c r="R31">
        <v>3</v>
      </c>
      <c r="S31">
        <v>36</v>
      </c>
      <c r="T31" t="s">
        <v>326</v>
      </c>
    </row>
    <row r="32" spans="1:20" x14ac:dyDescent="0.35">
      <c r="A32">
        <v>1</v>
      </c>
      <c r="B32">
        <v>2</v>
      </c>
      <c r="C32" t="s">
        <v>1220</v>
      </c>
      <c r="D32" t="s">
        <v>1288</v>
      </c>
      <c r="E32" t="s">
        <v>22</v>
      </c>
      <c r="F32">
        <v>17</v>
      </c>
      <c r="H32" t="s">
        <v>23</v>
      </c>
      <c r="I32" t="s">
        <v>24</v>
      </c>
      <c r="J32" t="s">
        <v>1289</v>
      </c>
      <c r="K32" t="s">
        <v>1290</v>
      </c>
      <c r="L32">
        <v>4</v>
      </c>
      <c r="M32" t="s">
        <v>278</v>
      </c>
      <c r="N32" t="s">
        <v>559</v>
      </c>
      <c r="O32">
        <v>9.1999999999999993</v>
      </c>
      <c r="P32">
        <f t="shared" si="0"/>
        <v>5.8299999999999992</v>
      </c>
      <c r="Q32" t="s">
        <v>81</v>
      </c>
      <c r="R32">
        <v>3</v>
      </c>
      <c r="S32">
        <v>24</v>
      </c>
      <c r="T32" t="s">
        <v>189</v>
      </c>
    </row>
    <row r="33" spans="1:20" x14ac:dyDescent="0.35">
      <c r="A33">
        <v>1</v>
      </c>
      <c r="B33">
        <v>2</v>
      </c>
      <c r="C33" t="s">
        <v>1220</v>
      </c>
      <c r="D33" t="s">
        <v>1291</v>
      </c>
      <c r="E33" t="s">
        <v>22</v>
      </c>
      <c r="H33" t="s">
        <v>23</v>
      </c>
      <c r="I33" t="s">
        <v>77</v>
      </c>
      <c r="J33" t="s">
        <v>78</v>
      </c>
      <c r="K33" t="s">
        <v>78</v>
      </c>
      <c r="L33">
        <v>2</v>
      </c>
      <c r="M33" t="s">
        <v>79</v>
      </c>
      <c r="N33" t="s">
        <v>80</v>
      </c>
      <c r="O33">
        <v>6.9</v>
      </c>
      <c r="P33">
        <f t="shared" si="0"/>
        <v>3.5300000000000002</v>
      </c>
      <c r="Q33" t="s">
        <v>363</v>
      </c>
      <c r="R33">
        <v>3</v>
      </c>
      <c r="S33">
        <v>92</v>
      </c>
      <c r="T33" t="s">
        <v>55</v>
      </c>
    </row>
    <row r="34" spans="1:20" x14ac:dyDescent="0.35">
      <c r="A34">
        <v>1</v>
      </c>
      <c r="B34">
        <v>2</v>
      </c>
      <c r="C34" t="s">
        <v>1220</v>
      </c>
      <c r="D34" t="s">
        <v>1292</v>
      </c>
      <c r="E34" t="s">
        <v>22</v>
      </c>
      <c r="F34">
        <v>11</v>
      </c>
      <c r="H34" t="s">
        <v>23</v>
      </c>
      <c r="I34" t="s">
        <v>24</v>
      </c>
      <c r="J34" t="s">
        <v>1293</v>
      </c>
      <c r="K34" t="s">
        <v>1294</v>
      </c>
      <c r="L34">
        <v>4</v>
      </c>
      <c r="M34" t="s">
        <v>1295</v>
      </c>
      <c r="N34" t="s">
        <v>443</v>
      </c>
      <c r="O34">
        <v>29.2</v>
      </c>
      <c r="P34">
        <f t="shared" si="0"/>
        <v>25.83</v>
      </c>
      <c r="Q34" t="s">
        <v>933</v>
      </c>
      <c r="R34">
        <v>6</v>
      </c>
      <c r="S34">
        <v>64</v>
      </c>
      <c r="T34" t="s">
        <v>290</v>
      </c>
    </row>
    <row r="35" spans="1:20" x14ac:dyDescent="0.35">
      <c r="A35">
        <v>1</v>
      </c>
      <c r="B35">
        <v>2</v>
      </c>
      <c r="C35" t="s">
        <v>1220</v>
      </c>
      <c r="D35" t="s">
        <v>1296</v>
      </c>
      <c r="E35" t="s">
        <v>22</v>
      </c>
      <c r="F35">
        <v>18</v>
      </c>
      <c r="H35" t="s">
        <v>23</v>
      </c>
      <c r="I35" t="s">
        <v>24</v>
      </c>
      <c r="J35" t="s">
        <v>143</v>
      </c>
      <c r="K35" t="s">
        <v>195</v>
      </c>
      <c r="L35">
        <v>2</v>
      </c>
      <c r="M35" t="s">
        <v>1223</v>
      </c>
      <c r="N35" t="s">
        <v>354</v>
      </c>
      <c r="O35">
        <v>22.8</v>
      </c>
      <c r="P35">
        <f t="shared" si="0"/>
        <v>19.43</v>
      </c>
      <c r="Q35" t="s">
        <v>1243</v>
      </c>
      <c r="R35">
        <v>6</v>
      </c>
      <c r="S35">
        <v>52</v>
      </c>
      <c r="T35" t="s">
        <v>555</v>
      </c>
    </row>
    <row r="36" spans="1:20" x14ac:dyDescent="0.35">
      <c r="A36">
        <v>1</v>
      </c>
      <c r="B36">
        <v>2</v>
      </c>
      <c r="C36" t="s">
        <v>1220</v>
      </c>
      <c r="D36" t="s">
        <v>1297</v>
      </c>
      <c r="E36" t="s">
        <v>22</v>
      </c>
      <c r="F36">
        <v>1</v>
      </c>
      <c r="H36" t="s">
        <v>23</v>
      </c>
      <c r="I36" t="s">
        <v>24</v>
      </c>
      <c r="J36" t="s">
        <v>1298</v>
      </c>
      <c r="K36" t="s">
        <v>399</v>
      </c>
      <c r="L36">
        <v>4</v>
      </c>
      <c r="M36" t="s">
        <v>1080</v>
      </c>
      <c r="N36" t="s">
        <v>676</v>
      </c>
      <c r="O36">
        <v>26.3</v>
      </c>
      <c r="P36">
        <f t="shared" si="0"/>
        <v>22.93</v>
      </c>
      <c r="Q36" t="s">
        <v>795</v>
      </c>
      <c r="R36">
        <v>6</v>
      </c>
      <c r="S36">
        <v>59</v>
      </c>
      <c r="T36" t="s">
        <v>744</v>
      </c>
    </row>
    <row r="38" spans="1:20" x14ac:dyDescent="0.35"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7</v>
      </c>
      <c r="I38" t="s">
        <v>8</v>
      </c>
      <c r="J38" t="s">
        <v>9</v>
      </c>
      <c r="K38" t="s">
        <v>10</v>
      </c>
      <c r="L38" t="s">
        <v>11</v>
      </c>
      <c r="M38" t="s">
        <v>12</v>
      </c>
      <c r="N38" t="s">
        <v>13</v>
      </c>
      <c r="O38" t="s">
        <v>14</v>
      </c>
      <c r="Q38" t="s">
        <v>16</v>
      </c>
      <c r="R38" t="s">
        <v>17</v>
      </c>
      <c r="S38" t="s">
        <v>18</v>
      </c>
      <c r="T38" t="s">
        <v>19</v>
      </c>
    </row>
    <row r="39" spans="1:20" x14ac:dyDescent="0.35">
      <c r="A39">
        <v>1</v>
      </c>
      <c r="B39">
        <v>3</v>
      </c>
      <c r="C39" t="s">
        <v>1299</v>
      </c>
      <c r="D39" t="s">
        <v>1300</v>
      </c>
      <c r="E39" t="s">
        <v>22</v>
      </c>
      <c r="F39">
        <v>18</v>
      </c>
      <c r="H39" t="s">
        <v>23</v>
      </c>
      <c r="I39" t="s">
        <v>24</v>
      </c>
      <c r="J39" t="s">
        <v>787</v>
      </c>
      <c r="K39" t="s">
        <v>713</v>
      </c>
      <c r="L39">
        <v>1</v>
      </c>
      <c r="M39" t="s">
        <v>1301</v>
      </c>
      <c r="N39" t="s">
        <v>855</v>
      </c>
      <c r="O39">
        <v>25.7</v>
      </c>
      <c r="P39">
        <f t="shared" ref="P39:P69" si="1">O39-$O$94</f>
        <v>22.33</v>
      </c>
      <c r="Q39" t="s">
        <v>189</v>
      </c>
      <c r="R39">
        <v>0</v>
      </c>
      <c r="S39">
        <v>62</v>
      </c>
      <c r="T39" t="s">
        <v>744</v>
      </c>
    </row>
    <row r="40" spans="1:20" x14ac:dyDescent="0.35">
      <c r="A40">
        <v>1</v>
      </c>
      <c r="B40">
        <v>3</v>
      </c>
      <c r="C40" t="s">
        <v>1299</v>
      </c>
      <c r="D40" t="s">
        <v>1302</v>
      </c>
      <c r="E40" t="s">
        <v>22</v>
      </c>
      <c r="F40">
        <v>9</v>
      </c>
      <c r="H40" t="s">
        <v>23</v>
      </c>
      <c r="I40" t="s">
        <v>24</v>
      </c>
      <c r="J40" t="s">
        <v>576</v>
      </c>
      <c r="K40" t="s">
        <v>1286</v>
      </c>
      <c r="L40">
        <v>3</v>
      </c>
      <c r="M40" t="s">
        <v>545</v>
      </c>
      <c r="N40" t="s">
        <v>1034</v>
      </c>
      <c r="O40">
        <v>10.9</v>
      </c>
      <c r="P40">
        <f t="shared" si="1"/>
        <v>7.53</v>
      </c>
      <c r="Q40" t="s">
        <v>479</v>
      </c>
      <c r="R40">
        <v>3</v>
      </c>
      <c r="S40">
        <v>33</v>
      </c>
      <c r="T40" t="s">
        <v>198</v>
      </c>
    </row>
    <row r="41" spans="1:20" x14ac:dyDescent="0.35">
      <c r="A41">
        <v>1</v>
      </c>
      <c r="B41">
        <v>3</v>
      </c>
      <c r="C41" t="s">
        <v>1299</v>
      </c>
      <c r="D41" t="s">
        <v>1303</v>
      </c>
      <c r="E41" t="s">
        <v>22</v>
      </c>
      <c r="F41">
        <v>17</v>
      </c>
      <c r="H41" t="s">
        <v>23</v>
      </c>
      <c r="I41" t="s">
        <v>24</v>
      </c>
      <c r="J41" t="s">
        <v>1304</v>
      </c>
      <c r="K41">
        <v>170</v>
      </c>
      <c r="L41">
        <v>1</v>
      </c>
      <c r="M41" t="s">
        <v>1305</v>
      </c>
      <c r="N41" t="s">
        <v>1037</v>
      </c>
      <c r="O41">
        <v>10.3</v>
      </c>
      <c r="P41">
        <f t="shared" si="1"/>
        <v>6.9300000000000006</v>
      </c>
      <c r="Q41" t="s">
        <v>81</v>
      </c>
      <c r="R41">
        <v>3</v>
      </c>
      <c r="S41">
        <v>23</v>
      </c>
      <c r="T41" t="s">
        <v>198</v>
      </c>
    </row>
    <row r="42" spans="1:20" x14ac:dyDescent="0.35">
      <c r="A42">
        <v>1</v>
      </c>
      <c r="B42">
        <v>3</v>
      </c>
      <c r="C42" t="s">
        <v>1299</v>
      </c>
      <c r="D42" t="s">
        <v>1306</v>
      </c>
      <c r="E42" t="s">
        <v>22</v>
      </c>
      <c r="F42">
        <v>18</v>
      </c>
      <c r="H42" t="s">
        <v>23</v>
      </c>
      <c r="I42" t="s">
        <v>24</v>
      </c>
      <c r="J42" t="s">
        <v>787</v>
      </c>
      <c r="K42" t="s">
        <v>713</v>
      </c>
      <c r="L42">
        <v>1</v>
      </c>
      <c r="M42" t="s">
        <v>1301</v>
      </c>
      <c r="N42" t="s">
        <v>855</v>
      </c>
      <c r="O42">
        <v>25.7</v>
      </c>
      <c r="P42">
        <f t="shared" si="1"/>
        <v>22.33</v>
      </c>
      <c r="Q42" t="s">
        <v>189</v>
      </c>
      <c r="R42">
        <v>0</v>
      </c>
      <c r="S42">
        <v>62</v>
      </c>
      <c r="T42" t="s">
        <v>744</v>
      </c>
    </row>
    <row r="43" spans="1:20" x14ac:dyDescent="0.35">
      <c r="A43">
        <v>1</v>
      </c>
      <c r="B43">
        <v>3</v>
      </c>
      <c r="C43" t="s">
        <v>1299</v>
      </c>
      <c r="D43" t="s">
        <v>1307</v>
      </c>
      <c r="E43" t="s">
        <v>22</v>
      </c>
      <c r="F43">
        <v>11</v>
      </c>
      <c r="H43" t="s">
        <v>23</v>
      </c>
      <c r="I43" t="s">
        <v>24</v>
      </c>
      <c r="J43" t="s">
        <v>186</v>
      </c>
      <c r="K43">
        <v>89</v>
      </c>
      <c r="L43">
        <v>3</v>
      </c>
      <c r="M43" t="s">
        <v>1269</v>
      </c>
      <c r="N43" t="s">
        <v>1039</v>
      </c>
      <c r="O43">
        <v>41.5</v>
      </c>
      <c r="P43">
        <f t="shared" si="1"/>
        <v>38.130000000000003</v>
      </c>
      <c r="Q43" t="s">
        <v>1308</v>
      </c>
      <c r="R43">
        <v>5</v>
      </c>
      <c r="S43">
        <v>95</v>
      </c>
      <c r="T43" t="s">
        <v>578</v>
      </c>
    </row>
    <row r="44" spans="1:20" x14ac:dyDescent="0.35">
      <c r="A44">
        <v>1</v>
      </c>
      <c r="B44">
        <v>3</v>
      </c>
      <c r="C44" t="s">
        <v>1299</v>
      </c>
      <c r="D44" t="s">
        <v>1309</v>
      </c>
      <c r="E44" t="s">
        <v>22</v>
      </c>
      <c r="F44">
        <v>10</v>
      </c>
      <c r="H44" t="s">
        <v>23</v>
      </c>
      <c r="I44" t="s">
        <v>24</v>
      </c>
      <c r="J44" t="s">
        <v>1310</v>
      </c>
      <c r="K44" t="s">
        <v>523</v>
      </c>
      <c r="L44">
        <v>1</v>
      </c>
      <c r="M44" t="s">
        <v>711</v>
      </c>
      <c r="N44" t="s">
        <v>946</v>
      </c>
      <c r="O44">
        <v>23.9</v>
      </c>
      <c r="P44">
        <f t="shared" si="1"/>
        <v>20.529999999999998</v>
      </c>
      <c r="Q44" t="s">
        <v>679</v>
      </c>
      <c r="R44">
        <v>5</v>
      </c>
      <c r="S44">
        <v>61</v>
      </c>
      <c r="T44" t="s">
        <v>806</v>
      </c>
    </row>
    <row r="45" spans="1:20" x14ac:dyDescent="0.35">
      <c r="A45">
        <v>1</v>
      </c>
      <c r="B45">
        <v>3</v>
      </c>
      <c r="C45" t="s">
        <v>1299</v>
      </c>
      <c r="D45" t="s">
        <v>1311</v>
      </c>
      <c r="E45" t="s">
        <v>22</v>
      </c>
      <c r="F45">
        <v>15</v>
      </c>
      <c r="H45" t="s">
        <v>23</v>
      </c>
      <c r="I45" t="s">
        <v>24</v>
      </c>
      <c r="J45" t="s">
        <v>1312</v>
      </c>
      <c r="K45" t="s">
        <v>181</v>
      </c>
      <c r="L45">
        <v>1</v>
      </c>
      <c r="M45" t="s">
        <v>823</v>
      </c>
      <c r="N45" t="s">
        <v>402</v>
      </c>
      <c r="O45">
        <v>8.3000000000000007</v>
      </c>
      <c r="P45">
        <f t="shared" si="1"/>
        <v>4.9300000000000006</v>
      </c>
      <c r="Q45" t="s">
        <v>197</v>
      </c>
      <c r="R45">
        <v>3</v>
      </c>
      <c r="S45">
        <v>21</v>
      </c>
      <c r="T45" t="s">
        <v>36</v>
      </c>
    </row>
    <row r="46" spans="1:20" x14ac:dyDescent="0.35">
      <c r="A46">
        <v>1</v>
      </c>
      <c r="B46">
        <v>3</v>
      </c>
      <c r="C46" t="s">
        <v>1299</v>
      </c>
      <c r="D46" t="s">
        <v>1313</v>
      </c>
      <c r="E46" t="s">
        <v>22</v>
      </c>
      <c r="F46">
        <v>14</v>
      </c>
      <c r="H46" t="s">
        <v>23</v>
      </c>
      <c r="I46" t="s">
        <v>24</v>
      </c>
      <c r="J46" t="s">
        <v>265</v>
      </c>
      <c r="K46" t="s">
        <v>356</v>
      </c>
      <c r="L46">
        <v>1</v>
      </c>
      <c r="M46" t="s">
        <v>1314</v>
      </c>
      <c r="N46" t="s">
        <v>335</v>
      </c>
      <c r="O46">
        <v>10.7</v>
      </c>
      <c r="P46">
        <f t="shared" si="1"/>
        <v>7.3299999999999992</v>
      </c>
      <c r="Q46" t="s">
        <v>159</v>
      </c>
      <c r="R46">
        <v>3</v>
      </c>
      <c r="S46">
        <v>27</v>
      </c>
      <c r="T46" t="s">
        <v>198</v>
      </c>
    </row>
    <row r="47" spans="1:20" x14ac:dyDescent="0.35">
      <c r="A47">
        <v>1</v>
      </c>
      <c r="B47">
        <v>3</v>
      </c>
      <c r="C47" t="s">
        <v>1299</v>
      </c>
      <c r="D47" t="s">
        <v>1315</v>
      </c>
      <c r="E47" t="s">
        <v>22</v>
      </c>
      <c r="F47">
        <v>19</v>
      </c>
      <c r="H47" t="s">
        <v>23</v>
      </c>
      <c r="I47" t="s">
        <v>24</v>
      </c>
      <c r="J47" t="s">
        <v>808</v>
      </c>
      <c r="K47" t="s">
        <v>1316</v>
      </c>
      <c r="L47">
        <v>1</v>
      </c>
      <c r="M47" t="s">
        <v>1317</v>
      </c>
      <c r="N47">
        <v>39</v>
      </c>
      <c r="O47">
        <v>18.100000000000001</v>
      </c>
      <c r="P47">
        <f t="shared" si="1"/>
        <v>14.73</v>
      </c>
      <c r="Q47" t="s">
        <v>514</v>
      </c>
      <c r="R47">
        <v>5</v>
      </c>
      <c r="S47">
        <v>42</v>
      </c>
      <c r="T47" t="s">
        <v>49</v>
      </c>
    </row>
    <row r="48" spans="1:20" x14ac:dyDescent="0.35">
      <c r="A48">
        <v>1</v>
      </c>
      <c r="B48">
        <v>3</v>
      </c>
      <c r="C48" t="s">
        <v>1299</v>
      </c>
      <c r="D48" t="s">
        <v>1318</v>
      </c>
      <c r="E48" t="s">
        <v>22</v>
      </c>
      <c r="H48" t="s">
        <v>23</v>
      </c>
      <c r="I48" t="s">
        <v>77</v>
      </c>
      <c r="J48" t="s">
        <v>78</v>
      </c>
      <c r="K48" t="s">
        <v>78</v>
      </c>
      <c r="L48">
        <v>1</v>
      </c>
      <c r="M48" t="s">
        <v>79</v>
      </c>
      <c r="N48" t="s">
        <v>80</v>
      </c>
      <c r="O48">
        <v>6.4</v>
      </c>
      <c r="P48">
        <f t="shared" si="1"/>
        <v>3.0300000000000002</v>
      </c>
      <c r="Q48" t="s">
        <v>1319</v>
      </c>
      <c r="R48">
        <v>3</v>
      </c>
      <c r="S48">
        <v>106</v>
      </c>
      <c r="T48" t="s">
        <v>55</v>
      </c>
    </row>
    <row r="49" spans="1:20" x14ac:dyDescent="0.35">
      <c r="A49">
        <v>1</v>
      </c>
      <c r="B49">
        <v>3</v>
      </c>
      <c r="C49" t="s">
        <v>1299</v>
      </c>
      <c r="D49" t="s">
        <v>1320</v>
      </c>
      <c r="E49" t="s">
        <v>22</v>
      </c>
      <c r="F49">
        <v>20</v>
      </c>
      <c r="H49" t="s">
        <v>23</v>
      </c>
      <c r="I49" t="s">
        <v>24</v>
      </c>
      <c r="J49" t="s">
        <v>1321</v>
      </c>
      <c r="K49" t="s">
        <v>1322</v>
      </c>
      <c r="L49">
        <v>1</v>
      </c>
      <c r="M49" t="s">
        <v>1323</v>
      </c>
      <c r="N49" t="s">
        <v>1304</v>
      </c>
      <c r="O49">
        <v>10.5</v>
      </c>
      <c r="P49">
        <f t="shared" si="1"/>
        <v>7.13</v>
      </c>
      <c r="Q49">
        <v>4</v>
      </c>
      <c r="R49">
        <v>0</v>
      </c>
      <c r="S49">
        <v>25</v>
      </c>
      <c r="T49" t="s">
        <v>198</v>
      </c>
    </row>
    <row r="50" spans="1:20" x14ac:dyDescent="0.35">
      <c r="A50">
        <v>1</v>
      </c>
      <c r="B50">
        <v>3</v>
      </c>
      <c r="C50" t="s">
        <v>1299</v>
      </c>
      <c r="D50" t="s">
        <v>1324</v>
      </c>
      <c r="E50" t="s">
        <v>22</v>
      </c>
      <c r="F50">
        <v>3</v>
      </c>
      <c r="H50" t="s">
        <v>23</v>
      </c>
      <c r="I50" t="s">
        <v>24</v>
      </c>
      <c r="J50" t="s">
        <v>1325</v>
      </c>
      <c r="K50" t="s">
        <v>1326</v>
      </c>
      <c r="L50">
        <v>3</v>
      </c>
      <c r="M50" t="s">
        <v>1327</v>
      </c>
      <c r="N50" t="s">
        <v>1080</v>
      </c>
      <c r="O50">
        <v>10.9</v>
      </c>
      <c r="P50">
        <f t="shared" si="1"/>
        <v>7.53</v>
      </c>
      <c r="Q50" t="s">
        <v>460</v>
      </c>
      <c r="R50">
        <v>3</v>
      </c>
      <c r="S50">
        <v>27</v>
      </c>
      <c r="T50" t="s">
        <v>198</v>
      </c>
    </row>
    <row r="51" spans="1:20" x14ac:dyDescent="0.35">
      <c r="A51">
        <v>1</v>
      </c>
      <c r="B51">
        <v>3</v>
      </c>
      <c r="C51" t="s">
        <v>1299</v>
      </c>
      <c r="D51" t="s">
        <v>1328</v>
      </c>
      <c r="E51" t="s">
        <v>22</v>
      </c>
      <c r="H51" t="s">
        <v>23</v>
      </c>
      <c r="I51" t="s">
        <v>77</v>
      </c>
      <c r="J51" t="s">
        <v>78</v>
      </c>
      <c r="K51" t="s">
        <v>78</v>
      </c>
      <c r="L51">
        <v>3</v>
      </c>
      <c r="M51" t="s">
        <v>79</v>
      </c>
      <c r="N51" t="s">
        <v>80</v>
      </c>
      <c r="O51">
        <v>6.6</v>
      </c>
      <c r="P51">
        <f t="shared" si="1"/>
        <v>3.2299999999999995</v>
      </c>
      <c r="Q51" t="s">
        <v>1047</v>
      </c>
      <c r="R51">
        <v>3</v>
      </c>
      <c r="S51">
        <v>95</v>
      </c>
      <c r="T51" t="s">
        <v>55</v>
      </c>
    </row>
    <row r="52" spans="1:20" x14ac:dyDescent="0.35">
      <c r="A52">
        <v>1</v>
      </c>
      <c r="B52">
        <v>3</v>
      </c>
      <c r="C52" t="s">
        <v>1299</v>
      </c>
      <c r="D52" t="s">
        <v>1329</v>
      </c>
      <c r="E52" t="s">
        <v>22</v>
      </c>
      <c r="F52">
        <v>10</v>
      </c>
      <c r="H52" t="s">
        <v>23</v>
      </c>
      <c r="I52" t="s">
        <v>24</v>
      </c>
      <c r="J52" t="s">
        <v>734</v>
      </c>
      <c r="K52" t="s">
        <v>752</v>
      </c>
      <c r="L52">
        <v>3</v>
      </c>
      <c r="M52" t="s">
        <v>1330</v>
      </c>
      <c r="N52" t="s">
        <v>1286</v>
      </c>
      <c r="O52">
        <v>19.5</v>
      </c>
      <c r="P52">
        <f t="shared" si="1"/>
        <v>16.13</v>
      </c>
      <c r="Q52" t="s">
        <v>721</v>
      </c>
      <c r="R52">
        <v>5</v>
      </c>
      <c r="S52">
        <v>47</v>
      </c>
      <c r="T52" t="s">
        <v>564</v>
      </c>
    </row>
    <row r="53" spans="1:20" x14ac:dyDescent="0.35">
      <c r="A53">
        <v>1</v>
      </c>
      <c r="B53">
        <v>3</v>
      </c>
      <c r="C53" t="s">
        <v>1299</v>
      </c>
      <c r="D53" t="s">
        <v>1331</v>
      </c>
      <c r="E53" t="s">
        <v>22</v>
      </c>
      <c r="F53">
        <v>12</v>
      </c>
      <c r="H53" t="s">
        <v>23</v>
      </c>
      <c r="I53" t="s">
        <v>24</v>
      </c>
      <c r="J53" t="s">
        <v>600</v>
      </c>
      <c r="K53" t="s">
        <v>911</v>
      </c>
      <c r="L53">
        <v>3</v>
      </c>
      <c r="M53" t="s">
        <v>319</v>
      </c>
      <c r="N53">
        <v>45</v>
      </c>
      <c r="O53">
        <v>30.3</v>
      </c>
      <c r="P53">
        <f t="shared" si="1"/>
        <v>26.93</v>
      </c>
      <c r="Q53">
        <v>12</v>
      </c>
      <c r="R53">
        <v>4</v>
      </c>
      <c r="S53">
        <v>71</v>
      </c>
      <c r="T53" t="s">
        <v>814</v>
      </c>
    </row>
    <row r="54" spans="1:20" x14ac:dyDescent="0.35">
      <c r="A54">
        <v>1</v>
      </c>
      <c r="B54">
        <v>3</v>
      </c>
      <c r="C54" t="s">
        <v>1299</v>
      </c>
      <c r="D54" t="s">
        <v>1332</v>
      </c>
      <c r="E54" t="s">
        <v>22</v>
      </c>
      <c r="F54">
        <v>12</v>
      </c>
      <c r="H54" t="s">
        <v>23</v>
      </c>
      <c r="I54" t="s">
        <v>24</v>
      </c>
      <c r="J54" t="s">
        <v>1333</v>
      </c>
      <c r="K54" t="s">
        <v>99</v>
      </c>
      <c r="L54">
        <v>1</v>
      </c>
      <c r="M54" t="s">
        <v>1334</v>
      </c>
      <c r="N54" t="s">
        <v>28</v>
      </c>
      <c r="O54">
        <v>54.2</v>
      </c>
      <c r="P54">
        <f t="shared" si="1"/>
        <v>50.830000000000005</v>
      </c>
      <c r="Q54" t="s">
        <v>1231</v>
      </c>
      <c r="R54">
        <v>4</v>
      </c>
      <c r="S54">
        <v>106</v>
      </c>
      <c r="T54" t="s">
        <v>1335</v>
      </c>
    </row>
    <row r="55" spans="1:20" x14ac:dyDescent="0.35">
      <c r="A55">
        <v>1</v>
      </c>
      <c r="B55">
        <v>3</v>
      </c>
      <c r="C55" t="s">
        <v>1299</v>
      </c>
      <c r="D55" t="s">
        <v>1336</v>
      </c>
      <c r="E55" t="s">
        <v>22</v>
      </c>
      <c r="F55">
        <v>17</v>
      </c>
      <c r="H55" t="s">
        <v>23</v>
      </c>
      <c r="I55" t="s">
        <v>24</v>
      </c>
      <c r="J55" t="s">
        <v>1304</v>
      </c>
      <c r="K55">
        <v>170</v>
      </c>
      <c r="L55">
        <v>1</v>
      </c>
      <c r="M55" t="s">
        <v>1305</v>
      </c>
      <c r="N55" t="s">
        <v>1037</v>
      </c>
      <c r="O55">
        <v>10.3</v>
      </c>
      <c r="P55">
        <f t="shared" si="1"/>
        <v>6.9300000000000006</v>
      </c>
      <c r="Q55" t="s">
        <v>81</v>
      </c>
      <c r="R55">
        <v>3</v>
      </c>
      <c r="S55">
        <v>23</v>
      </c>
      <c r="T55" t="s">
        <v>198</v>
      </c>
    </row>
    <row r="56" spans="1:20" x14ac:dyDescent="0.35">
      <c r="A56">
        <v>1</v>
      </c>
      <c r="B56">
        <v>3</v>
      </c>
      <c r="C56" t="s">
        <v>1299</v>
      </c>
      <c r="D56" t="s">
        <v>1337</v>
      </c>
      <c r="E56" t="s">
        <v>22</v>
      </c>
      <c r="F56">
        <v>8</v>
      </c>
      <c r="H56" t="s">
        <v>23</v>
      </c>
      <c r="I56" t="s">
        <v>24</v>
      </c>
      <c r="J56" t="s">
        <v>1338</v>
      </c>
      <c r="K56" t="s">
        <v>1339</v>
      </c>
      <c r="L56">
        <v>3</v>
      </c>
      <c r="M56" t="s">
        <v>1340</v>
      </c>
      <c r="N56" t="s">
        <v>553</v>
      </c>
      <c r="O56">
        <v>12.9</v>
      </c>
      <c r="P56">
        <f t="shared" si="1"/>
        <v>9.5300000000000011</v>
      </c>
      <c r="Q56" t="s">
        <v>458</v>
      </c>
      <c r="R56">
        <v>3</v>
      </c>
      <c r="S56">
        <v>36</v>
      </c>
      <c r="T56" t="s">
        <v>274</v>
      </c>
    </row>
    <row r="57" spans="1:20" x14ac:dyDescent="0.35">
      <c r="A57">
        <v>1</v>
      </c>
      <c r="B57">
        <v>3</v>
      </c>
      <c r="C57" t="s">
        <v>1299</v>
      </c>
      <c r="D57" t="s">
        <v>1341</v>
      </c>
      <c r="E57" t="s">
        <v>22</v>
      </c>
      <c r="F57">
        <v>17</v>
      </c>
      <c r="H57" t="s">
        <v>23</v>
      </c>
      <c r="I57" t="s">
        <v>24</v>
      </c>
      <c r="J57" t="s">
        <v>1304</v>
      </c>
      <c r="K57">
        <v>170</v>
      </c>
      <c r="L57">
        <v>1</v>
      </c>
      <c r="M57" t="s">
        <v>1305</v>
      </c>
      <c r="N57" t="s">
        <v>1037</v>
      </c>
      <c r="O57">
        <v>10.3</v>
      </c>
      <c r="P57">
        <f t="shared" si="1"/>
        <v>6.9300000000000006</v>
      </c>
      <c r="Q57" t="s">
        <v>81</v>
      </c>
      <c r="R57">
        <v>3</v>
      </c>
      <c r="S57">
        <v>23</v>
      </c>
      <c r="T57" t="s">
        <v>198</v>
      </c>
    </row>
    <row r="58" spans="1:20" x14ac:dyDescent="0.35">
      <c r="A58">
        <v>1</v>
      </c>
      <c r="B58">
        <v>3</v>
      </c>
      <c r="C58" t="s">
        <v>1299</v>
      </c>
      <c r="D58" t="s">
        <v>1342</v>
      </c>
      <c r="E58" t="s">
        <v>22</v>
      </c>
      <c r="F58">
        <v>5</v>
      </c>
      <c r="H58" t="s">
        <v>23</v>
      </c>
      <c r="I58" t="s">
        <v>24</v>
      </c>
      <c r="J58" t="s">
        <v>1343</v>
      </c>
      <c r="K58" t="s">
        <v>248</v>
      </c>
      <c r="L58">
        <v>3</v>
      </c>
      <c r="M58" t="s">
        <v>1344</v>
      </c>
      <c r="N58" t="s">
        <v>946</v>
      </c>
      <c r="O58">
        <v>14</v>
      </c>
      <c r="P58">
        <f t="shared" si="1"/>
        <v>10.629999999999999</v>
      </c>
      <c r="Q58" t="s">
        <v>55</v>
      </c>
      <c r="R58">
        <v>4</v>
      </c>
      <c r="S58">
        <v>38</v>
      </c>
      <c r="T58" t="s">
        <v>238</v>
      </c>
    </row>
    <row r="59" spans="1:20" x14ac:dyDescent="0.35">
      <c r="A59">
        <v>1</v>
      </c>
      <c r="B59">
        <v>3</v>
      </c>
      <c r="C59" t="s">
        <v>1299</v>
      </c>
      <c r="D59" t="s">
        <v>1345</v>
      </c>
      <c r="E59" t="s">
        <v>22</v>
      </c>
      <c r="F59">
        <v>6</v>
      </c>
      <c r="H59" t="s">
        <v>23</v>
      </c>
      <c r="I59" t="s">
        <v>24</v>
      </c>
      <c r="J59" t="s">
        <v>1346</v>
      </c>
      <c r="K59" t="s">
        <v>644</v>
      </c>
      <c r="L59">
        <v>3</v>
      </c>
      <c r="M59" t="s">
        <v>1347</v>
      </c>
      <c r="N59" t="s">
        <v>465</v>
      </c>
      <c r="O59">
        <v>9.6999999999999993</v>
      </c>
      <c r="P59">
        <f t="shared" si="1"/>
        <v>6.3299999999999992</v>
      </c>
      <c r="Q59" t="s">
        <v>29</v>
      </c>
      <c r="R59">
        <v>3</v>
      </c>
      <c r="S59">
        <v>23</v>
      </c>
      <c r="T59" t="s">
        <v>189</v>
      </c>
    </row>
    <row r="60" spans="1:20" x14ac:dyDescent="0.35">
      <c r="A60">
        <v>1</v>
      </c>
      <c r="B60">
        <v>3</v>
      </c>
      <c r="C60" t="s">
        <v>1299</v>
      </c>
      <c r="D60" t="s">
        <v>1348</v>
      </c>
      <c r="E60" t="s">
        <v>22</v>
      </c>
      <c r="F60">
        <v>13</v>
      </c>
      <c r="H60" t="s">
        <v>23</v>
      </c>
      <c r="I60" t="s">
        <v>24</v>
      </c>
      <c r="J60" t="s">
        <v>1349</v>
      </c>
      <c r="K60">
        <v>146</v>
      </c>
      <c r="L60">
        <v>1</v>
      </c>
      <c r="M60" t="s">
        <v>1350</v>
      </c>
      <c r="N60" t="s">
        <v>440</v>
      </c>
      <c r="O60">
        <v>11.9</v>
      </c>
      <c r="P60">
        <f t="shared" si="1"/>
        <v>8.5300000000000011</v>
      </c>
      <c r="Q60" t="s">
        <v>460</v>
      </c>
      <c r="R60">
        <v>4</v>
      </c>
      <c r="S60">
        <v>30</v>
      </c>
      <c r="T60" t="s">
        <v>274</v>
      </c>
    </row>
    <row r="61" spans="1:20" x14ac:dyDescent="0.35">
      <c r="A61">
        <v>1</v>
      </c>
      <c r="B61">
        <v>3</v>
      </c>
      <c r="C61" t="s">
        <v>1299</v>
      </c>
      <c r="D61" t="s">
        <v>1351</v>
      </c>
      <c r="E61" t="s">
        <v>22</v>
      </c>
      <c r="F61">
        <v>13</v>
      </c>
      <c r="H61" t="s">
        <v>23</v>
      </c>
      <c r="I61" t="s">
        <v>24</v>
      </c>
      <c r="J61" t="s">
        <v>1352</v>
      </c>
      <c r="K61" t="s">
        <v>1353</v>
      </c>
      <c r="L61">
        <v>3</v>
      </c>
      <c r="M61" t="s">
        <v>1246</v>
      </c>
      <c r="N61" t="s">
        <v>1354</v>
      </c>
      <c r="O61">
        <v>37.299999999999997</v>
      </c>
      <c r="P61">
        <f t="shared" si="1"/>
        <v>33.93</v>
      </c>
      <c r="Q61" t="s">
        <v>109</v>
      </c>
      <c r="R61">
        <v>8</v>
      </c>
      <c r="S61">
        <v>74</v>
      </c>
      <c r="T61" t="s">
        <v>459</v>
      </c>
    </row>
    <row r="62" spans="1:20" x14ac:dyDescent="0.35">
      <c r="A62">
        <v>1</v>
      </c>
      <c r="B62">
        <v>3</v>
      </c>
      <c r="C62" t="s">
        <v>1299</v>
      </c>
      <c r="D62" t="s">
        <v>1355</v>
      </c>
      <c r="E62" t="s">
        <v>22</v>
      </c>
      <c r="F62">
        <v>2</v>
      </c>
      <c r="H62" t="s">
        <v>23</v>
      </c>
      <c r="I62" t="s">
        <v>24</v>
      </c>
      <c r="J62" t="s">
        <v>1356</v>
      </c>
      <c r="K62" t="s">
        <v>1357</v>
      </c>
      <c r="L62">
        <v>3</v>
      </c>
      <c r="M62" t="s">
        <v>1358</v>
      </c>
      <c r="N62" t="s">
        <v>720</v>
      </c>
      <c r="O62">
        <v>24.3</v>
      </c>
      <c r="P62">
        <f t="shared" si="1"/>
        <v>20.93</v>
      </c>
      <c r="Q62" t="s">
        <v>702</v>
      </c>
      <c r="R62">
        <v>4</v>
      </c>
      <c r="S62">
        <v>60</v>
      </c>
      <c r="T62" t="s">
        <v>520</v>
      </c>
    </row>
    <row r="63" spans="1:20" x14ac:dyDescent="0.35">
      <c r="A63">
        <v>1</v>
      </c>
      <c r="B63">
        <v>3</v>
      </c>
      <c r="C63" t="s">
        <v>1299</v>
      </c>
      <c r="D63" t="s">
        <v>1359</v>
      </c>
      <c r="E63" t="s">
        <v>22</v>
      </c>
      <c r="F63">
        <v>1</v>
      </c>
      <c r="H63" t="s">
        <v>23</v>
      </c>
      <c r="I63" t="s">
        <v>24</v>
      </c>
      <c r="J63" t="s">
        <v>194</v>
      </c>
      <c r="K63" t="s">
        <v>252</v>
      </c>
      <c r="L63">
        <v>3</v>
      </c>
      <c r="M63" t="s">
        <v>78</v>
      </c>
      <c r="N63" t="s">
        <v>709</v>
      </c>
      <c r="O63">
        <v>23.4</v>
      </c>
      <c r="P63">
        <f t="shared" si="1"/>
        <v>20.029999999999998</v>
      </c>
      <c r="Q63" t="s">
        <v>36</v>
      </c>
      <c r="R63">
        <v>4</v>
      </c>
      <c r="S63">
        <v>53</v>
      </c>
      <c r="T63" t="s">
        <v>520</v>
      </c>
    </row>
    <row r="64" spans="1:20" x14ac:dyDescent="0.35">
      <c r="A64">
        <v>1</v>
      </c>
      <c r="B64">
        <v>3</v>
      </c>
      <c r="C64" t="s">
        <v>1299</v>
      </c>
      <c r="D64" t="s">
        <v>1360</v>
      </c>
      <c r="E64" t="s">
        <v>22</v>
      </c>
      <c r="F64">
        <v>14</v>
      </c>
      <c r="H64" t="s">
        <v>23</v>
      </c>
      <c r="I64" t="s">
        <v>24</v>
      </c>
      <c r="J64" t="s">
        <v>813</v>
      </c>
      <c r="K64" t="s">
        <v>670</v>
      </c>
      <c r="L64">
        <v>3</v>
      </c>
      <c r="M64" t="s">
        <v>940</v>
      </c>
      <c r="N64" t="s">
        <v>200</v>
      </c>
      <c r="O64">
        <v>13</v>
      </c>
      <c r="P64">
        <f t="shared" si="1"/>
        <v>9.629999999999999</v>
      </c>
      <c r="Q64" t="s">
        <v>387</v>
      </c>
      <c r="R64">
        <v>3</v>
      </c>
      <c r="S64">
        <v>29</v>
      </c>
      <c r="T64" t="s">
        <v>238</v>
      </c>
    </row>
    <row r="65" spans="1:20" x14ac:dyDescent="0.35">
      <c r="A65">
        <v>1</v>
      </c>
      <c r="B65">
        <v>3</v>
      </c>
      <c r="C65" t="s">
        <v>1299</v>
      </c>
      <c r="D65" t="s">
        <v>1361</v>
      </c>
      <c r="E65" t="s">
        <v>22</v>
      </c>
      <c r="F65">
        <v>11</v>
      </c>
      <c r="H65" t="s">
        <v>23</v>
      </c>
      <c r="I65" t="s">
        <v>24</v>
      </c>
      <c r="J65" t="s">
        <v>1362</v>
      </c>
      <c r="K65" t="s">
        <v>315</v>
      </c>
      <c r="L65">
        <v>1</v>
      </c>
      <c r="M65">
        <v>91</v>
      </c>
      <c r="N65" t="s">
        <v>28</v>
      </c>
      <c r="O65">
        <v>12.1</v>
      </c>
      <c r="P65">
        <f t="shared" si="1"/>
        <v>8.73</v>
      </c>
      <c r="Q65" t="s">
        <v>108</v>
      </c>
      <c r="R65">
        <v>4</v>
      </c>
      <c r="S65">
        <v>28</v>
      </c>
      <c r="T65" t="s">
        <v>274</v>
      </c>
    </row>
    <row r="66" spans="1:20" x14ac:dyDescent="0.35">
      <c r="A66">
        <v>1</v>
      </c>
      <c r="B66">
        <v>3</v>
      </c>
      <c r="C66" t="s">
        <v>1299</v>
      </c>
      <c r="D66" t="s">
        <v>1363</v>
      </c>
      <c r="E66" t="s">
        <v>22</v>
      </c>
      <c r="F66">
        <v>16</v>
      </c>
      <c r="H66" t="s">
        <v>23</v>
      </c>
      <c r="I66" t="s">
        <v>24</v>
      </c>
      <c r="J66" t="s">
        <v>1364</v>
      </c>
      <c r="K66">
        <v>171</v>
      </c>
      <c r="L66">
        <v>1</v>
      </c>
      <c r="M66" t="s">
        <v>181</v>
      </c>
      <c r="N66" t="s">
        <v>341</v>
      </c>
      <c r="O66">
        <v>36.9</v>
      </c>
      <c r="P66">
        <f t="shared" si="1"/>
        <v>33.53</v>
      </c>
      <c r="Q66" t="s">
        <v>1365</v>
      </c>
      <c r="R66">
        <v>9</v>
      </c>
      <c r="S66">
        <v>94</v>
      </c>
      <c r="T66" t="s">
        <v>470</v>
      </c>
    </row>
    <row r="67" spans="1:20" x14ac:dyDescent="0.35">
      <c r="A67">
        <v>1</v>
      </c>
      <c r="B67">
        <v>3</v>
      </c>
      <c r="C67" t="s">
        <v>1299</v>
      </c>
      <c r="D67" t="s">
        <v>1366</v>
      </c>
      <c r="E67" t="s">
        <v>22</v>
      </c>
      <c r="F67">
        <v>4</v>
      </c>
      <c r="H67" t="s">
        <v>23</v>
      </c>
      <c r="I67" t="s">
        <v>24</v>
      </c>
      <c r="J67" t="s">
        <v>1367</v>
      </c>
      <c r="K67" t="s">
        <v>1368</v>
      </c>
      <c r="L67">
        <v>3</v>
      </c>
      <c r="M67" t="s">
        <v>819</v>
      </c>
      <c r="N67" t="s">
        <v>683</v>
      </c>
      <c r="O67">
        <v>16.100000000000001</v>
      </c>
      <c r="P67">
        <f t="shared" si="1"/>
        <v>12.73</v>
      </c>
      <c r="Q67" t="s">
        <v>1047</v>
      </c>
      <c r="R67">
        <v>3</v>
      </c>
      <c r="S67">
        <v>41</v>
      </c>
      <c r="T67" t="s">
        <v>326</v>
      </c>
    </row>
    <row r="68" spans="1:20" x14ac:dyDescent="0.35">
      <c r="A68">
        <v>1</v>
      </c>
      <c r="B68">
        <v>3</v>
      </c>
      <c r="C68" t="s">
        <v>1299</v>
      </c>
      <c r="D68" t="s">
        <v>1369</v>
      </c>
      <c r="E68" t="s">
        <v>22</v>
      </c>
      <c r="F68">
        <v>18</v>
      </c>
      <c r="H68" t="s">
        <v>23</v>
      </c>
      <c r="I68" t="s">
        <v>24</v>
      </c>
      <c r="J68" t="s">
        <v>787</v>
      </c>
      <c r="K68" t="s">
        <v>713</v>
      </c>
      <c r="L68">
        <v>1</v>
      </c>
      <c r="M68" t="s">
        <v>1301</v>
      </c>
      <c r="N68" t="s">
        <v>855</v>
      </c>
      <c r="O68">
        <v>25.7</v>
      </c>
      <c r="P68">
        <f t="shared" si="1"/>
        <v>22.33</v>
      </c>
      <c r="Q68" t="s">
        <v>189</v>
      </c>
      <c r="R68">
        <v>0</v>
      </c>
      <c r="S68">
        <v>62</v>
      </c>
      <c r="T68" t="s">
        <v>744</v>
      </c>
    </row>
    <row r="69" spans="1:20" x14ac:dyDescent="0.35">
      <c r="A69">
        <v>1</v>
      </c>
      <c r="B69">
        <v>3</v>
      </c>
      <c r="C69" t="s">
        <v>1299</v>
      </c>
      <c r="D69" t="s">
        <v>1370</v>
      </c>
      <c r="E69" t="s">
        <v>22</v>
      </c>
      <c r="F69">
        <v>7</v>
      </c>
      <c r="H69" t="s">
        <v>23</v>
      </c>
      <c r="I69" t="s">
        <v>24</v>
      </c>
      <c r="J69" t="s">
        <v>715</v>
      </c>
      <c r="K69" t="s">
        <v>596</v>
      </c>
      <c r="L69">
        <v>3</v>
      </c>
      <c r="M69" t="s">
        <v>1371</v>
      </c>
      <c r="N69" t="s">
        <v>445</v>
      </c>
      <c r="O69">
        <v>12.1</v>
      </c>
      <c r="P69">
        <f t="shared" si="1"/>
        <v>8.73</v>
      </c>
      <c r="Q69" t="s">
        <v>55</v>
      </c>
      <c r="R69">
        <v>3</v>
      </c>
      <c r="S69">
        <v>45</v>
      </c>
      <c r="T69" t="s">
        <v>109</v>
      </c>
    </row>
    <row r="71" spans="1:20" x14ac:dyDescent="0.35">
      <c r="C71" t="s">
        <v>2</v>
      </c>
      <c r="D71" t="s">
        <v>3</v>
      </c>
      <c r="E71" t="s">
        <v>4</v>
      </c>
      <c r="F71" t="s">
        <v>5</v>
      </c>
      <c r="G71" t="s">
        <v>6</v>
      </c>
      <c r="H71" t="s">
        <v>7</v>
      </c>
      <c r="I71" t="s">
        <v>8</v>
      </c>
      <c r="J71" t="s">
        <v>9</v>
      </c>
      <c r="K71" t="s">
        <v>10</v>
      </c>
      <c r="L71" t="s">
        <v>11</v>
      </c>
      <c r="M71" t="s">
        <v>12</v>
      </c>
      <c r="N71" t="s">
        <v>13</v>
      </c>
      <c r="O71" t="s">
        <v>14</v>
      </c>
      <c r="Q71" t="s">
        <v>16</v>
      </c>
      <c r="R71" t="s">
        <v>17</v>
      </c>
      <c r="S71" t="s">
        <v>18</v>
      </c>
      <c r="T71" t="s">
        <v>19</v>
      </c>
    </row>
    <row r="72" spans="1:20" x14ac:dyDescent="0.35">
      <c r="A72">
        <v>2</v>
      </c>
      <c r="B72">
        <v>1</v>
      </c>
      <c r="C72" t="s">
        <v>1372</v>
      </c>
      <c r="D72" t="s">
        <v>1373</v>
      </c>
      <c r="E72" t="s">
        <v>22</v>
      </c>
      <c r="F72">
        <v>3</v>
      </c>
      <c r="G72" t="s">
        <v>1374</v>
      </c>
      <c r="H72" t="s">
        <v>23</v>
      </c>
      <c r="I72" t="s">
        <v>24</v>
      </c>
      <c r="J72">
        <v>108</v>
      </c>
      <c r="K72">
        <v>161</v>
      </c>
      <c r="L72">
        <v>1</v>
      </c>
      <c r="M72">
        <v>136</v>
      </c>
      <c r="N72" t="s">
        <v>200</v>
      </c>
      <c r="O72">
        <v>12</v>
      </c>
      <c r="P72">
        <f t="shared" ref="P72:P80" si="2">O72-$O$94</f>
        <v>8.629999999999999</v>
      </c>
      <c r="Q72" t="s">
        <v>217</v>
      </c>
      <c r="R72">
        <v>3</v>
      </c>
      <c r="S72">
        <v>36</v>
      </c>
      <c r="T72" t="s">
        <v>109</v>
      </c>
    </row>
    <row r="73" spans="1:20" x14ac:dyDescent="0.35">
      <c r="A73">
        <v>2</v>
      </c>
      <c r="B73">
        <v>1</v>
      </c>
      <c r="C73" t="s">
        <v>1372</v>
      </c>
      <c r="D73" t="s">
        <v>1375</v>
      </c>
      <c r="E73" t="s">
        <v>22</v>
      </c>
      <c r="F73">
        <v>2</v>
      </c>
      <c r="G73" t="s">
        <v>1374</v>
      </c>
      <c r="H73" t="s">
        <v>23</v>
      </c>
      <c r="I73" t="s">
        <v>24</v>
      </c>
      <c r="J73">
        <v>126</v>
      </c>
      <c r="K73" t="s">
        <v>1376</v>
      </c>
      <c r="L73">
        <v>3</v>
      </c>
      <c r="M73">
        <v>183</v>
      </c>
      <c r="N73">
        <v>56</v>
      </c>
      <c r="O73">
        <v>8.8000000000000007</v>
      </c>
      <c r="P73">
        <f t="shared" si="2"/>
        <v>5.4300000000000006</v>
      </c>
      <c r="Q73" t="s">
        <v>439</v>
      </c>
      <c r="R73">
        <v>3</v>
      </c>
      <c r="S73">
        <v>25</v>
      </c>
      <c r="T73" t="s">
        <v>36</v>
      </c>
    </row>
    <row r="74" spans="1:20" x14ac:dyDescent="0.35">
      <c r="A74">
        <v>2</v>
      </c>
      <c r="B74">
        <v>1</v>
      </c>
      <c r="C74" t="s">
        <v>1372</v>
      </c>
      <c r="D74" t="s">
        <v>1377</v>
      </c>
      <c r="E74" t="s">
        <v>22</v>
      </c>
      <c r="F74">
        <v>6</v>
      </c>
      <c r="G74" t="s">
        <v>1374</v>
      </c>
      <c r="H74" t="s">
        <v>23</v>
      </c>
      <c r="I74" t="s">
        <v>24</v>
      </c>
      <c r="J74" t="s">
        <v>1378</v>
      </c>
      <c r="K74" t="s">
        <v>1379</v>
      </c>
      <c r="L74">
        <v>3</v>
      </c>
      <c r="M74" t="s">
        <v>799</v>
      </c>
      <c r="N74">
        <v>49</v>
      </c>
      <c r="O74">
        <v>7.9</v>
      </c>
      <c r="P74">
        <f t="shared" si="2"/>
        <v>4.53</v>
      </c>
      <c r="Q74" t="s">
        <v>170</v>
      </c>
      <c r="R74">
        <v>3</v>
      </c>
      <c r="S74">
        <v>19</v>
      </c>
      <c r="T74" t="s">
        <v>36</v>
      </c>
    </row>
    <row r="75" spans="1:20" x14ac:dyDescent="0.35">
      <c r="A75">
        <v>2</v>
      </c>
      <c r="B75">
        <v>1</v>
      </c>
      <c r="C75" t="s">
        <v>1372</v>
      </c>
      <c r="D75" t="s">
        <v>1380</v>
      </c>
      <c r="E75" t="s">
        <v>22</v>
      </c>
      <c r="F75">
        <v>4</v>
      </c>
      <c r="G75" t="s">
        <v>1374</v>
      </c>
      <c r="H75" t="s">
        <v>23</v>
      </c>
      <c r="I75" t="s">
        <v>24</v>
      </c>
      <c r="J75" t="s">
        <v>1381</v>
      </c>
      <c r="K75" t="s">
        <v>1382</v>
      </c>
      <c r="L75">
        <v>3</v>
      </c>
      <c r="M75" t="s">
        <v>1383</v>
      </c>
      <c r="N75" t="s">
        <v>1026</v>
      </c>
      <c r="O75">
        <v>7.6</v>
      </c>
      <c r="P75">
        <f t="shared" si="2"/>
        <v>4.2299999999999995</v>
      </c>
      <c r="Q75" t="s">
        <v>69</v>
      </c>
      <c r="R75">
        <v>3</v>
      </c>
      <c r="S75">
        <v>19</v>
      </c>
      <c r="T75" t="s">
        <v>30</v>
      </c>
    </row>
    <row r="76" spans="1:20" x14ac:dyDescent="0.35">
      <c r="A76">
        <v>2</v>
      </c>
      <c r="B76">
        <v>1</v>
      </c>
      <c r="C76" t="s">
        <v>1372</v>
      </c>
      <c r="D76" t="s">
        <v>1384</v>
      </c>
      <c r="E76" t="s">
        <v>22</v>
      </c>
      <c r="H76" t="s">
        <v>23</v>
      </c>
      <c r="I76" t="s">
        <v>77</v>
      </c>
      <c r="J76" t="s">
        <v>78</v>
      </c>
      <c r="K76" t="s">
        <v>78</v>
      </c>
      <c r="L76">
        <v>3</v>
      </c>
      <c r="M76" t="s">
        <v>79</v>
      </c>
      <c r="N76" t="s">
        <v>80</v>
      </c>
      <c r="O76">
        <v>4</v>
      </c>
      <c r="P76">
        <f t="shared" si="2"/>
        <v>0.62999999999999989</v>
      </c>
      <c r="Q76" t="s">
        <v>75</v>
      </c>
      <c r="R76">
        <v>3</v>
      </c>
      <c r="S76">
        <v>45</v>
      </c>
      <c r="T76" t="s">
        <v>81</v>
      </c>
    </row>
    <row r="77" spans="1:20" x14ac:dyDescent="0.35">
      <c r="A77">
        <v>2</v>
      </c>
      <c r="B77">
        <v>1</v>
      </c>
      <c r="C77" t="s">
        <v>1372</v>
      </c>
      <c r="D77" t="s">
        <v>1385</v>
      </c>
      <c r="E77" t="s">
        <v>22</v>
      </c>
      <c r="F77">
        <v>3</v>
      </c>
      <c r="G77" t="s">
        <v>1374</v>
      </c>
      <c r="H77" t="s">
        <v>23</v>
      </c>
      <c r="I77" t="s">
        <v>24</v>
      </c>
      <c r="J77" t="s">
        <v>1386</v>
      </c>
      <c r="K77" t="s">
        <v>94</v>
      </c>
      <c r="L77">
        <v>3</v>
      </c>
      <c r="M77">
        <v>179</v>
      </c>
      <c r="N77" t="s">
        <v>549</v>
      </c>
      <c r="O77">
        <v>9.1999999999999993</v>
      </c>
      <c r="P77">
        <f t="shared" si="2"/>
        <v>5.8299999999999992</v>
      </c>
      <c r="Q77" t="s">
        <v>81</v>
      </c>
      <c r="R77">
        <v>3</v>
      </c>
      <c r="S77">
        <v>25</v>
      </c>
      <c r="T77" t="s">
        <v>189</v>
      </c>
    </row>
    <row r="78" spans="1:20" x14ac:dyDescent="0.35">
      <c r="A78">
        <v>2</v>
      </c>
      <c r="B78">
        <v>1</v>
      </c>
      <c r="C78" t="s">
        <v>1372</v>
      </c>
      <c r="D78" t="s">
        <v>1387</v>
      </c>
      <c r="E78" t="s">
        <v>22</v>
      </c>
      <c r="F78">
        <v>5</v>
      </c>
      <c r="G78" t="s">
        <v>1374</v>
      </c>
      <c r="H78" t="s">
        <v>23</v>
      </c>
      <c r="I78" t="s">
        <v>24</v>
      </c>
      <c r="J78" t="s">
        <v>1388</v>
      </c>
      <c r="K78" t="s">
        <v>1389</v>
      </c>
      <c r="L78">
        <v>3</v>
      </c>
      <c r="M78" t="s">
        <v>1390</v>
      </c>
      <c r="N78" t="s">
        <v>1391</v>
      </c>
      <c r="O78">
        <v>7.2</v>
      </c>
      <c r="P78">
        <f t="shared" si="2"/>
        <v>3.83</v>
      </c>
      <c r="Q78" t="s">
        <v>69</v>
      </c>
      <c r="R78">
        <v>3</v>
      </c>
      <c r="S78">
        <v>18</v>
      </c>
      <c r="T78" t="s">
        <v>30</v>
      </c>
    </row>
    <row r="79" spans="1:20" x14ac:dyDescent="0.35">
      <c r="A79">
        <v>2</v>
      </c>
      <c r="B79">
        <v>1</v>
      </c>
      <c r="C79" t="s">
        <v>1372</v>
      </c>
      <c r="D79" t="s">
        <v>1392</v>
      </c>
      <c r="E79" t="s">
        <v>22</v>
      </c>
      <c r="H79" t="s">
        <v>23</v>
      </c>
      <c r="I79" t="s">
        <v>77</v>
      </c>
      <c r="J79" t="s">
        <v>78</v>
      </c>
      <c r="K79" t="s">
        <v>78</v>
      </c>
      <c r="L79">
        <v>1</v>
      </c>
      <c r="M79" t="s">
        <v>79</v>
      </c>
      <c r="N79" t="s">
        <v>80</v>
      </c>
      <c r="O79">
        <v>3.9</v>
      </c>
      <c r="P79">
        <f t="shared" si="2"/>
        <v>0.5299999999999998</v>
      </c>
      <c r="Q79" t="s">
        <v>164</v>
      </c>
      <c r="R79">
        <v>3</v>
      </c>
      <c r="S79">
        <v>36</v>
      </c>
      <c r="T79" t="s">
        <v>81</v>
      </c>
    </row>
    <row r="80" spans="1:20" x14ac:dyDescent="0.35">
      <c r="A80">
        <v>2</v>
      </c>
      <c r="B80">
        <v>1</v>
      </c>
      <c r="C80" t="s">
        <v>1372</v>
      </c>
      <c r="D80" t="s">
        <v>1393</v>
      </c>
      <c r="E80" t="s">
        <v>22</v>
      </c>
      <c r="F80">
        <v>1</v>
      </c>
      <c r="G80" t="s">
        <v>1374</v>
      </c>
      <c r="H80" t="s">
        <v>23</v>
      </c>
      <c r="I80" t="s">
        <v>24</v>
      </c>
      <c r="J80" t="s">
        <v>591</v>
      </c>
      <c r="K80" t="s">
        <v>1394</v>
      </c>
      <c r="L80">
        <v>3</v>
      </c>
      <c r="M80" t="s">
        <v>304</v>
      </c>
      <c r="N80" t="s">
        <v>392</v>
      </c>
      <c r="O80">
        <v>15.9</v>
      </c>
      <c r="P80">
        <f t="shared" si="2"/>
        <v>12.530000000000001</v>
      </c>
      <c r="Q80" t="s">
        <v>1047</v>
      </c>
      <c r="R80">
        <v>4</v>
      </c>
      <c r="S80">
        <v>40</v>
      </c>
      <c r="T80" t="s">
        <v>326</v>
      </c>
    </row>
    <row r="82" spans="1:20" x14ac:dyDescent="0.35">
      <c r="C82" t="s">
        <v>2</v>
      </c>
      <c r="D82" t="s">
        <v>3</v>
      </c>
      <c r="E82" t="s">
        <v>4</v>
      </c>
      <c r="F82" t="s">
        <v>5</v>
      </c>
      <c r="G82" t="s">
        <v>6</v>
      </c>
      <c r="H82" t="s">
        <v>7</v>
      </c>
      <c r="I82" t="s">
        <v>8</v>
      </c>
      <c r="J82" t="s">
        <v>9</v>
      </c>
      <c r="K82" t="s">
        <v>10</v>
      </c>
      <c r="L82" t="s">
        <v>11</v>
      </c>
      <c r="M82" t="s">
        <v>12</v>
      </c>
      <c r="N82" t="s">
        <v>13</v>
      </c>
      <c r="O82" t="s">
        <v>14</v>
      </c>
      <c r="Q82" t="s">
        <v>16</v>
      </c>
      <c r="R82" t="s">
        <v>17</v>
      </c>
      <c r="S82" t="s">
        <v>18</v>
      </c>
      <c r="T82" t="s">
        <v>19</v>
      </c>
    </row>
    <row r="83" spans="1:20" x14ac:dyDescent="0.35">
      <c r="A83">
        <v>2</v>
      </c>
      <c r="B83">
        <v>2</v>
      </c>
      <c r="C83" t="s">
        <v>1395</v>
      </c>
      <c r="D83" t="s">
        <v>1396</v>
      </c>
      <c r="E83" t="s">
        <v>22</v>
      </c>
      <c r="F83">
        <v>1</v>
      </c>
      <c r="H83" t="s">
        <v>23</v>
      </c>
      <c r="I83" t="s">
        <v>24</v>
      </c>
      <c r="J83" t="s">
        <v>1077</v>
      </c>
      <c r="K83" t="s">
        <v>1397</v>
      </c>
      <c r="L83">
        <v>1</v>
      </c>
      <c r="M83" t="s">
        <v>337</v>
      </c>
      <c r="N83" t="s">
        <v>68</v>
      </c>
      <c r="O83">
        <v>10.1</v>
      </c>
      <c r="P83">
        <f t="shared" ref="P83:P91" si="3">O83-$O$94</f>
        <v>6.7299999999999995</v>
      </c>
      <c r="Q83" t="s">
        <v>209</v>
      </c>
      <c r="R83">
        <v>3</v>
      </c>
      <c r="S83">
        <v>23</v>
      </c>
      <c r="T83" t="s">
        <v>198</v>
      </c>
    </row>
    <row r="84" spans="1:20" x14ac:dyDescent="0.35">
      <c r="A84">
        <v>2</v>
      </c>
      <c r="B84">
        <v>2</v>
      </c>
      <c r="C84" t="s">
        <v>1395</v>
      </c>
      <c r="D84" t="s">
        <v>1398</v>
      </c>
      <c r="E84" t="s">
        <v>22</v>
      </c>
      <c r="H84" t="s">
        <v>23</v>
      </c>
      <c r="I84" t="s">
        <v>77</v>
      </c>
      <c r="J84" t="s">
        <v>78</v>
      </c>
      <c r="K84" t="s">
        <v>78</v>
      </c>
      <c r="L84">
        <v>3</v>
      </c>
      <c r="M84" t="s">
        <v>79</v>
      </c>
      <c r="N84" t="s">
        <v>80</v>
      </c>
      <c r="O84">
        <v>3.9</v>
      </c>
      <c r="P84">
        <f t="shared" si="3"/>
        <v>0.5299999999999998</v>
      </c>
      <c r="Q84">
        <v>2</v>
      </c>
      <c r="R84">
        <v>3</v>
      </c>
      <c r="S84">
        <v>49</v>
      </c>
      <c r="T84" t="s">
        <v>81</v>
      </c>
    </row>
    <row r="85" spans="1:20" x14ac:dyDescent="0.35">
      <c r="A85">
        <v>2</v>
      </c>
      <c r="B85">
        <v>2</v>
      </c>
      <c r="C85" t="s">
        <v>1395</v>
      </c>
      <c r="D85" s="4" t="s">
        <v>1399</v>
      </c>
      <c r="E85" t="s">
        <v>22</v>
      </c>
      <c r="F85">
        <v>1</v>
      </c>
      <c r="H85" t="s">
        <v>23</v>
      </c>
      <c r="I85" t="s">
        <v>24</v>
      </c>
      <c r="J85" t="s">
        <v>1400</v>
      </c>
      <c r="K85" t="s">
        <v>139</v>
      </c>
      <c r="L85">
        <v>3</v>
      </c>
      <c r="M85" t="s">
        <v>1401</v>
      </c>
      <c r="N85" t="s">
        <v>1402</v>
      </c>
      <c r="O85">
        <v>10.1</v>
      </c>
      <c r="P85">
        <f t="shared" si="3"/>
        <v>6.7299999999999995</v>
      </c>
      <c r="Q85" t="s">
        <v>479</v>
      </c>
      <c r="R85">
        <v>3</v>
      </c>
      <c r="S85">
        <v>24</v>
      </c>
      <c r="T85" t="s">
        <v>198</v>
      </c>
    </row>
    <row r="86" spans="1:20" x14ac:dyDescent="0.35">
      <c r="A86">
        <v>2</v>
      </c>
      <c r="B86">
        <v>2</v>
      </c>
      <c r="C86" t="s">
        <v>1395</v>
      </c>
      <c r="D86" t="s">
        <v>1403</v>
      </c>
      <c r="E86" t="s">
        <v>22</v>
      </c>
      <c r="F86">
        <v>5</v>
      </c>
      <c r="H86" t="s">
        <v>23</v>
      </c>
      <c r="I86" t="s">
        <v>24</v>
      </c>
      <c r="J86" t="s">
        <v>738</v>
      </c>
      <c r="K86" t="s">
        <v>1404</v>
      </c>
      <c r="L86">
        <v>1</v>
      </c>
      <c r="M86" t="s">
        <v>1405</v>
      </c>
      <c r="N86">
        <v>56</v>
      </c>
      <c r="O86">
        <v>8.6999999999999993</v>
      </c>
      <c r="P86">
        <f t="shared" si="3"/>
        <v>5.3299999999999992</v>
      </c>
      <c r="Q86" t="s">
        <v>81</v>
      </c>
      <c r="R86">
        <v>3</v>
      </c>
      <c r="S86">
        <v>22</v>
      </c>
      <c r="T86" t="s">
        <v>36</v>
      </c>
    </row>
    <row r="87" spans="1:20" x14ac:dyDescent="0.35">
      <c r="A87">
        <v>2</v>
      </c>
      <c r="B87">
        <v>2</v>
      </c>
      <c r="C87" t="s">
        <v>1395</v>
      </c>
      <c r="D87" t="s">
        <v>1406</v>
      </c>
      <c r="E87" t="s">
        <v>22</v>
      </c>
      <c r="F87">
        <v>5</v>
      </c>
      <c r="H87" t="s">
        <v>23</v>
      </c>
      <c r="I87" t="s">
        <v>24</v>
      </c>
      <c r="J87">
        <v>49</v>
      </c>
      <c r="K87" t="s">
        <v>1407</v>
      </c>
      <c r="L87">
        <v>3</v>
      </c>
      <c r="M87" t="s">
        <v>1408</v>
      </c>
      <c r="N87" t="s">
        <v>196</v>
      </c>
      <c r="O87">
        <v>7.3</v>
      </c>
      <c r="P87">
        <f t="shared" si="3"/>
        <v>3.9299999999999997</v>
      </c>
      <c r="Q87" t="s">
        <v>203</v>
      </c>
      <c r="R87">
        <v>3</v>
      </c>
      <c r="S87">
        <v>21</v>
      </c>
      <c r="T87" t="s">
        <v>30</v>
      </c>
    </row>
    <row r="88" spans="1:20" x14ac:dyDescent="0.35">
      <c r="A88">
        <v>2</v>
      </c>
      <c r="B88">
        <v>2</v>
      </c>
      <c r="C88" t="s">
        <v>1395</v>
      </c>
      <c r="D88" t="s">
        <v>1409</v>
      </c>
      <c r="E88" t="s">
        <v>22</v>
      </c>
      <c r="F88">
        <v>4</v>
      </c>
      <c r="H88" t="s">
        <v>23</v>
      </c>
      <c r="I88" t="s">
        <v>24</v>
      </c>
      <c r="J88" t="s">
        <v>940</v>
      </c>
      <c r="K88" t="s">
        <v>585</v>
      </c>
      <c r="L88">
        <v>1</v>
      </c>
      <c r="M88" t="s">
        <v>1410</v>
      </c>
      <c r="N88" t="s">
        <v>1189</v>
      </c>
      <c r="O88">
        <v>15.7</v>
      </c>
      <c r="P88">
        <f t="shared" si="3"/>
        <v>12.329999999999998</v>
      </c>
      <c r="Q88" t="s">
        <v>1319</v>
      </c>
      <c r="R88">
        <v>3</v>
      </c>
      <c r="S88">
        <v>48</v>
      </c>
      <c r="T88" t="s">
        <v>326</v>
      </c>
    </row>
    <row r="89" spans="1:20" x14ac:dyDescent="0.35">
      <c r="A89">
        <v>2</v>
      </c>
      <c r="B89">
        <v>2</v>
      </c>
      <c r="C89" t="s">
        <v>1395</v>
      </c>
      <c r="D89" t="s">
        <v>1411</v>
      </c>
      <c r="E89" t="s">
        <v>22</v>
      </c>
      <c r="F89">
        <v>2</v>
      </c>
      <c r="H89" t="s">
        <v>23</v>
      </c>
      <c r="I89" t="s">
        <v>24</v>
      </c>
      <c r="J89" t="s">
        <v>1412</v>
      </c>
      <c r="K89" t="s">
        <v>1413</v>
      </c>
      <c r="L89">
        <v>3</v>
      </c>
      <c r="M89" t="s">
        <v>1414</v>
      </c>
      <c r="N89">
        <v>49</v>
      </c>
      <c r="O89">
        <v>11.4</v>
      </c>
      <c r="P89">
        <f t="shared" si="3"/>
        <v>8.0300000000000011</v>
      </c>
      <c r="Q89" t="s">
        <v>458</v>
      </c>
      <c r="R89">
        <v>3</v>
      </c>
      <c r="S89">
        <v>42</v>
      </c>
      <c r="T89" t="s">
        <v>198</v>
      </c>
    </row>
    <row r="90" spans="1:20" x14ac:dyDescent="0.35">
      <c r="A90">
        <v>2</v>
      </c>
      <c r="B90">
        <v>2</v>
      </c>
      <c r="C90" t="s">
        <v>1395</v>
      </c>
      <c r="D90" t="s">
        <v>1415</v>
      </c>
      <c r="E90" t="s">
        <v>22</v>
      </c>
      <c r="F90">
        <v>4</v>
      </c>
      <c r="H90" t="s">
        <v>23</v>
      </c>
      <c r="I90" t="s">
        <v>24</v>
      </c>
      <c r="J90" t="s">
        <v>1416</v>
      </c>
      <c r="K90" t="s">
        <v>1310</v>
      </c>
      <c r="L90">
        <v>3</v>
      </c>
      <c r="M90" t="s">
        <v>1084</v>
      </c>
      <c r="N90" t="s">
        <v>838</v>
      </c>
      <c r="O90">
        <v>6.4</v>
      </c>
      <c r="P90">
        <f t="shared" si="3"/>
        <v>3.0300000000000002</v>
      </c>
      <c r="Q90" t="s">
        <v>141</v>
      </c>
      <c r="R90">
        <v>3</v>
      </c>
      <c r="S90">
        <v>19</v>
      </c>
      <c r="T90" t="s">
        <v>42</v>
      </c>
    </row>
    <row r="91" spans="1:20" x14ac:dyDescent="0.35">
      <c r="A91">
        <v>2</v>
      </c>
      <c r="B91">
        <v>2</v>
      </c>
      <c r="C91" t="s">
        <v>1395</v>
      </c>
      <c r="D91" t="s">
        <v>1417</v>
      </c>
      <c r="E91" t="s">
        <v>22</v>
      </c>
      <c r="H91" t="s">
        <v>23</v>
      </c>
      <c r="I91" t="s">
        <v>77</v>
      </c>
      <c r="J91" t="s">
        <v>78</v>
      </c>
      <c r="K91" t="s">
        <v>78</v>
      </c>
      <c r="L91">
        <v>1</v>
      </c>
      <c r="M91" t="s">
        <v>79</v>
      </c>
      <c r="N91" t="s">
        <v>80</v>
      </c>
      <c r="O91">
        <v>4.0999999999999996</v>
      </c>
      <c r="P91">
        <f t="shared" si="3"/>
        <v>0.72999999999999954</v>
      </c>
      <c r="Q91" t="s">
        <v>118</v>
      </c>
      <c r="R91">
        <v>3</v>
      </c>
      <c r="S91">
        <v>76</v>
      </c>
      <c r="T91" t="s">
        <v>81</v>
      </c>
    </row>
    <row r="94" spans="1:20" x14ac:dyDescent="0.35">
      <c r="M94" t="s">
        <v>684</v>
      </c>
      <c r="O94">
        <v>3.37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1"/>
  <sheetViews>
    <sheetView zoomScaleNormal="100" workbookViewId="0">
      <selection activeCell="M1" sqref="M1"/>
    </sheetView>
  </sheetViews>
  <sheetFormatPr defaultColWidth="8.6328125" defaultRowHeight="14.5" x14ac:dyDescent="0.35"/>
  <sheetData>
    <row r="1" spans="1:17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s="1" t="s">
        <v>14</v>
      </c>
      <c r="N1" t="s">
        <v>16</v>
      </c>
      <c r="O1" t="s">
        <v>17</v>
      </c>
      <c r="P1" t="s">
        <v>18</v>
      </c>
      <c r="Q1" t="s">
        <v>19</v>
      </c>
    </row>
    <row r="2" spans="1:17" x14ac:dyDescent="0.35">
      <c r="A2" t="s">
        <v>1418</v>
      </c>
      <c r="B2" t="s">
        <v>1419</v>
      </c>
      <c r="C2" t="s">
        <v>22</v>
      </c>
      <c r="F2" t="s">
        <v>23</v>
      </c>
      <c r="G2" t="s">
        <v>77</v>
      </c>
      <c r="H2" t="s">
        <v>78</v>
      </c>
      <c r="I2" t="s">
        <v>78</v>
      </c>
      <c r="J2">
        <v>4</v>
      </c>
      <c r="K2" t="s">
        <v>79</v>
      </c>
      <c r="L2" t="s">
        <v>80</v>
      </c>
      <c r="M2">
        <v>3.2</v>
      </c>
      <c r="N2" t="s">
        <v>1420</v>
      </c>
      <c r="O2">
        <v>3</v>
      </c>
      <c r="P2">
        <v>14</v>
      </c>
      <c r="Q2" t="s">
        <v>81</v>
      </c>
    </row>
    <row r="3" spans="1:17" x14ac:dyDescent="0.35">
      <c r="A3" t="s">
        <v>1418</v>
      </c>
      <c r="B3" t="s">
        <v>1421</v>
      </c>
      <c r="C3" t="s">
        <v>22</v>
      </c>
      <c r="D3">
        <v>7</v>
      </c>
      <c r="F3" t="s">
        <v>23</v>
      </c>
      <c r="G3" t="s">
        <v>24</v>
      </c>
      <c r="H3" t="s">
        <v>1422</v>
      </c>
      <c r="I3" t="s">
        <v>1423</v>
      </c>
      <c r="J3">
        <v>4</v>
      </c>
      <c r="K3" t="s">
        <v>1424</v>
      </c>
      <c r="L3" t="s">
        <v>283</v>
      </c>
      <c r="M3">
        <v>3.3</v>
      </c>
      <c r="N3" t="s">
        <v>1425</v>
      </c>
      <c r="O3">
        <v>3</v>
      </c>
      <c r="P3">
        <v>9</v>
      </c>
      <c r="Q3" t="s">
        <v>81</v>
      </c>
    </row>
    <row r="4" spans="1:17" x14ac:dyDescent="0.35">
      <c r="A4" t="s">
        <v>1418</v>
      </c>
      <c r="B4" t="s">
        <v>1426</v>
      </c>
      <c r="C4" t="s">
        <v>22</v>
      </c>
      <c r="D4">
        <v>8</v>
      </c>
      <c r="F4" t="s">
        <v>23</v>
      </c>
      <c r="G4" t="s">
        <v>24</v>
      </c>
      <c r="H4" t="s">
        <v>1427</v>
      </c>
      <c r="I4" t="s">
        <v>1428</v>
      </c>
      <c r="J4">
        <v>4</v>
      </c>
      <c r="K4" t="s">
        <v>1429</v>
      </c>
      <c r="L4" t="s">
        <v>1233</v>
      </c>
      <c r="M4">
        <v>3.2</v>
      </c>
      <c r="N4" t="s">
        <v>1420</v>
      </c>
      <c r="O4">
        <v>3</v>
      </c>
      <c r="P4">
        <v>8</v>
      </c>
      <c r="Q4" t="s">
        <v>81</v>
      </c>
    </row>
    <row r="5" spans="1:17" x14ac:dyDescent="0.35">
      <c r="A5" t="s">
        <v>1418</v>
      </c>
      <c r="B5" t="s">
        <v>1430</v>
      </c>
      <c r="C5" t="s">
        <v>22</v>
      </c>
      <c r="D5">
        <v>4</v>
      </c>
      <c r="F5" t="s">
        <v>23</v>
      </c>
      <c r="G5" t="s">
        <v>24</v>
      </c>
      <c r="H5" t="s">
        <v>792</v>
      </c>
      <c r="I5" t="s">
        <v>1284</v>
      </c>
      <c r="J5">
        <v>4</v>
      </c>
      <c r="K5" t="s">
        <v>634</v>
      </c>
      <c r="L5" t="s">
        <v>1431</v>
      </c>
      <c r="M5">
        <v>3.3</v>
      </c>
      <c r="N5" t="s">
        <v>1420</v>
      </c>
      <c r="O5">
        <v>3</v>
      </c>
      <c r="P5">
        <v>7</v>
      </c>
      <c r="Q5" t="s">
        <v>81</v>
      </c>
    </row>
    <row r="6" spans="1:17" x14ac:dyDescent="0.35">
      <c r="A6" t="s">
        <v>1418</v>
      </c>
      <c r="B6" t="s">
        <v>1432</v>
      </c>
      <c r="C6" t="s">
        <v>22</v>
      </c>
      <c r="D6">
        <v>1</v>
      </c>
      <c r="F6" t="s">
        <v>23</v>
      </c>
      <c r="G6" t="s">
        <v>24</v>
      </c>
      <c r="H6" t="s">
        <v>176</v>
      </c>
      <c r="I6" t="s">
        <v>346</v>
      </c>
      <c r="J6">
        <v>4</v>
      </c>
      <c r="K6" t="s">
        <v>952</v>
      </c>
      <c r="L6" t="s">
        <v>1034</v>
      </c>
      <c r="M6">
        <v>3.5</v>
      </c>
      <c r="N6" t="s">
        <v>1433</v>
      </c>
      <c r="O6">
        <v>3</v>
      </c>
      <c r="P6">
        <v>10</v>
      </c>
      <c r="Q6" t="s">
        <v>81</v>
      </c>
    </row>
    <row r="7" spans="1:17" x14ac:dyDescent="0.35">
      <c r="A7" t="s">
        <v>1418</v>
      </c>
      <c r="B7" t="s">
        <v>1434</v>
      </c>
      <c r="C7" t="s">
        <v>22</v>
      </c>
      <c r="D7">
        <v>6</v>
      </c>
      <c r="F7" t="s">
        <v>23</v>
      </c>
      <c r="G7" t="s">
        <v>24</v>
      </c>
      <c r="H7">
        <v>43</v>
      </c>
      <c r="I7" t="s">
        <v>256</v>
      </c>
      <c r="J7">
        <v>4</v>
      </c>
      <c r="K7">
        <v>200</v>
      </c>
      <c r="L7">
        <v>53</v>
      </c>
      <c r="M7">
        <v>3.2</v>
      </c>
      <c r="N7" t="s">
        <v>1420</v>
      </c>
      <c r="O7">
        <v>3</v>
      </c>
      <c r="P7">
        <v>8</v>
      </c>
      <c r="Q7" t="s">
        <v>81</v>
      </c>
    </row>
    <row r="8" spans="1:17" x14ac:dyDescent="0.35">
      <c r="A8" t="s">
        <v>1418</v>
      </c>
      <c r="B8" t="s">
        <v>1435</v>
      </c>
      <c r="C8" t="s">
        <v>22</v>
      </c>
      <c r="D8">
        <v>5</v>
      </c>
      <c r="F8" t="s">
        <v>23</v>
      </c>
      <c r="G8" t="s">
        <v>24</v>
      </c>
      <c r="H8" t="s">
        <v>739</v>
      </c>
      <c r="I8" t="s">
        <v>1436</v>
      </c>
      <c r="J8">
        <v>4</v>
      </c>
      <c r="K8" t="s">
        <v>1437</v>
      </c>
      <c r="L8" t="s">
        <v>804</v>
      </c>
      <c r="M8">
        <v>3.3</v>
      </c>
      <c r="N8" t="s">
        <v>1420</v>
      </c>
      <c r="O8">
        <v>3</v>
      </c>
      <c r="P8">
        <v>7</v>
      </c>
      <c r="Q8" t="s">
        <v>81</v>
      </c>
    </row>
    <row r="9" spans="1:17" x14ac:dyDescent="0.35">
      <c r="A9" t="s">
        <v>1418</v>
      </c>
      <c r="B9" t="s">
        <v>1438</v>
      </c>
      <c r="C9" t="s">
        <v>22</v>
      </c>
      <c r="D9">
        <v>2</v>
      </c>
      <c r="F9" t="s">
        <v>23</v>
      </c>
      <c r="G9" t="s">
        <v>24</v>
      </c>
      <c r="H9" t="s">
        <v>1439</v>
      </c>
      <c r="I9" t="s">
        <v>1368</v>
      </c>
      <c r="J9">
        <v>4</v>
      </c>
      <c r="K9" t="s">
        <v>1440</v>
      </c>
      <c r="L9" t="s">
        <v>410</v>
      </c>
      <c r="M9">
        <v>3.4</v>
      </c>
      <c r="N9" t="s">
        <v>1441</v>
      </c>
      <c r="O9">
        <v>3</v>
      </c>
      <c r="P9">
        <v>9</v>
      </c>
      <c r="Q9" t="s">
        <v>81</v>
      </c>
    </row>
    <row r="11" spans="1:17" x14ac:dyDescent="0.35">
      <c r="L11" t="s">
        <v>1442</v>
      </c>
      <c r="M11">
        <f>AVERAGE(M2:M9)</f>
        <v>3.3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3"/>
  <sheetViews>
    <sheetView topLeftCell="B1" zoomScaleNormal="100" workbookViewId="0">
      <selection activeCell="M13" sqref="M13"/>
    </sheetView>
  </sheetViews>
  <sheetFormatPr defaultColWidth="8.6328125" defaultRowHeight="14.5" x14ac:dyDescent="0.35"/>
  <cols>
    <col min="13" max="13" width="15.90625" customWidth="1"/>
  </cols>
  <sheetData>
    <row r="1" spans="1:17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s="1" t="s">
        <v>14</v>
      </c>
      <c r="N1" t="s">
        <v>16</v>
      </c>
      <c r="O1" t="s">
        <v>17</v>
      </c>
      <c r="P1" t="s">
        <v>18</v>
      </c>
      <c r="Q1" t="s">
        <v>19</v>
      </c>
    </row>
    <row r="2" spans="1:17" x14ac:dyDescent="0.35">
      <c r="A2" t="s">
        <v>1443</v>
      </c>
      <c r="B2" t="s">
        <v>1444</v>
      </c>
      <c r="C2" t="s">
        <v>22</v>
      </c>
      <c r="D2">
        <v>2</v>
      </c>
      <c r="F2" t="s">
        <v>23</v>
      </c>
      <c r="G2" t="s">
        <v>24</v>
      </c>
      <c r="H2" t="s">
        <v>1445</v>
      </c>
      <c r="I2" t="s">
        <v>1446</v>
      </c>
      <c r="J2">
        <v>3</v>
      </c>
      <c r="K2" t="s">
        <v>1447</v>
      </c>
      <c r="L2" t="s">
        <v>59</v>
      </c>
      <c r="M2">
        <v>3.5</v>
      </c>
      <c r="N2" t="s">
        <v>1433</v>
      </c>
      <c r="O2">
        <v>3</v>
      </c>
      <c r="P2">
        <v>11</v>
      </c>
      <c r="Q2" t="s">
        <v>81</v>
      </c>
    </row>
    <row r="3" spans="1:17" x14ac:dyDescent="0.35">
      <c r="A3" t="s">
        <v>1443</v>
      </c>
      <c r="B3" t="s">
        <v>1448</v>
      </c>
      <c r="C3" t="s">
        <v>22</v>
      </c>
      <c r="D3">
        <v>6</v>
      </c>
      <c r="F3" t="s">
        <v>23</v>
      </c>
      <c r="G3" t="s">
        <v>24</v>
      </c>
      <c r="H3" t="s">
        <v>55</v>
      </c>
      <c r="I3">
        <v>75</v>
      </c>
      <c r="J3">
        <v>3</v>
      </c>
      <c r="K3" t="s">
        <v>97</v>
      </c>
      <c r="L3" t="s">
        <v>1449</v>
      </c>
      <c r="M3">
        <v>3.2</v>
      </c>
      <c r="N3" t="s">
        <v>1450</v>
      </c>
      <c r="O3">
        <v>3</v>
      </c>
      <c r="P3">
        <v>6</v>
      </c>
      <c r="Q3" t="s">
        <v>81</v>
      </c>
    </row>
    <row r="4" spans="1:17" x14ac:dyDescent="0.35">
      <c r="A4" t="s">
        <v>1443</v>
      </c>
      <c r="B4" t="s">
        <v>1451</v>
      </c>
      <c r="C4" t="s">
        <v>22</v>
      </c>
      <c r="D4">
        <v>3</v>
      </c>
      <c r="F4" t="s">
        <v>23</v>
      </c>
      <c r="G4" t="s">
        <v>24</v>
      </c>
      <c r="H4" t="s">
        <v>1452</v>
      </c>
      <c r="I4">
        <v>48</v>
      </c>
      <c r="J4">
        <v>3</v>
      </c>
      <c r="K4" t="s">
        <v>1453</v>
      </c>
      <c r="L4" t="s">
        <v>1454</v>
      </c>
      <c r="M4">
        <v>3.6</v>
      </c>
      <c r="N4" t="s">
        <v>1433</v>
      </c>
      <c r="O4">
        <v>3</v>
      </c>
      <c r="P4">
        <v>9</v>
      </c>
      <c r="Q4" t="s">
        <v>81</v>
      </c>
    </row>
    <row r="5" spans="1:17" x14ac:dyDescent="0.35">
      <c r="A5" t="s">
        <v>1443</v>
      </c>
      <c r="B5" t="s">
        <v>1455</v>
      </c>
      <c r="C5" t="s">
        <v>22</v>
      </c>
      <c r="F5" t="s">
        <v>23</v>
      </c>
      <c r="G5" t="s">
        <v>77</v>
      </c>
      <c r="H5" t="s">
        <v>78</v>
      </c>
      <c r="I5" t="s">
        <v>78</v>
      </c>
      <c r="J5">
        <v>3</v>
      </c>
      <c r="K5" t="s">
        <v>79</v>
      </c>
      <c r="L5" t="s">
        <v>80</v>
      </c>
      <c r="M5">
        <v>3.2</v>
      </c>
      <c r="N5" t="s">
        <v>1450</v>
      </c>
      <c r="O5">
        <v>3</v>
      </c>
      <c r="P5">
        <v>13</v>
      </c>
      <c r="Q5" t="s">
        <v>81</v>
      </c>
    </row>
    <row r="6" spans="1:17" x14ac:dyDescent="0.35">
      <c r="A6" t="s">
        <v>1443</v>
      </c>
      <c r="B6" t="s">
        <v>1456</v>
      </c>
      <c r="C6" t="s">
        <v>22</v>
      </c>
      <c r="D6">
        <v>9</v>
      </c>
      <c r="F6" t="s">
        <v>23</v>
      </c>
      <c r="G6" t="s">
        <v>24</v>
      </c>
      <c r="H6" t="s">
        <v>28</v>
      </c>
      <c r="I6" t="s">
        <v>322</v>
      </c>
      <c r="J6">
        <v>3</v>
      </c>
      <c r="K6" t="s">
        <v>1457</v>
      </c>
      <c r="L6" t="s">
        <v>139</v>
      </c>
      <c r="M6">
        <v>3.4</v>
      </c>
      <c r="N6" t="s">
        <v>1441</v>
      </c>
      <c r="O6">
        <v>3</v>
      </c>
      <c r="P6">
        <v>11</v>
      </c>
      <c r="Q6" t="s">
        <v>81</v>
      </c>
    </row>
    <row r="7" spans="1:17" x14ac:dyDescent="0.35">
      <c r="A7" t="s">
        <v>1443</v>
      </c>
      <c r="B7" t="s">
        <v>1458</v>
      </c>
      <c r="C7" t="s">
        <v>22</v>
      </c>
      <c r="D7">
        <v>4</v>
      </c>
      <c r="F7" t="s">
        <v>23</v>
      </c>
      <c r="G7" t="s">
        <v>24</v>
      </c>
      <c r="H7" t="s">
        <v>1028</v>
      </c>
      <c r="I7" t="s">
        <v>445</v>
      </c>
      <c r="J7">
        <v>3</v>
      </c>
      <c r="K7" t="s">
        <v>1459</v>
      </c>
      <c r="L7" t="s">
        <v>1213</v>
      </c>
      <c r="M7">
        <v>3.3</v>
      </c>
      <c r="N7" t="s">
        <v>1425</v>
      </c>
      <c r="O7">
        <v>3</v>
      </c>
      <c r="P7">
        <v>9</v>
      </c>
      <c r="Q7" t="s">
        <v>81</v>
      </c>
    </row>
    <row r="8" spans="1:17" x14ac:dyDescent="0.35">
      <c r="A8" t="s">
        <v>1443</v>
      </c>
      <c r="B8" t="s">
        <v>1460</v>
      </c>
      <c r="C8" t="s">
        <v>22</v>
      </c>
      <c r="D8">
        <v>1</v>
      </c>
      <c r="F8" t="s">
        <v>23</v>
      </c>
      <c r="G8" t="s">
        <v>24</v>
      </c>
      <c r="H8" t="s">
        <v>332</v>
      </c>
      <c r="I8" t="s">
        <v>871</v>
      </c>
      <c r="J8">
        <v>3</v>
      </c>
      <c r="K8" t="s">
        <v>1461</v>
      </c>
      <c r="L8" t="s">
        <v>572</v>
      </c>
      <c r="M8">
        <v>3.2</v>
      </c>
      <c r="N8" t="s">
        <v>1420</v>
      </c>
      <c r="O8">
        <v>3</v>
      </c>
      <c r="P8">
        <v>7</v>
      </c>
      <c r="Q8" t="s">
        <v>81</v>
      </c>
    </row>
    <row r="9" spans="1:17" x14ac:dyDescent="0.35">
      <c r="A9" t="s">
        <v>1443</v>
      </c>
      <c r="B9" t="s">
        <v>1462</v>
      </c>
      <c r="C9" t="s">
        <v>22</v>
      </c>
      <c r="D9">
        <v>10</v>
      </c>
      <c r="F9" t="s">
        <v>23</v>
      </c>
      <c r="G9" t="s">
        <v>24</v>
      </c>
      <c r="H9" t="s">
        <v>1187</v>
      </c>
      <c r="I9" t="s">
        <v>1463</v>
      </c>
      <c r="J9">
        <v>3</v>
      </c>
      <c r="K9" t="s">
        <v>1464</v>
      </c>
      <c r="L9" t="s">
        <v>449</v>
      </c>
      <c r="M9">
        <v>3.5</v>
      </c>
      <c r="N9" t="s">
        <v>1433</v>
      </c>
      <c r="O9">
        <v>3</v>
      </c>
      <c r="P9">
        <v>11</v>
      </c>
      <c r="Q9" t="s">
        <v>81</v>
      </c>
    </row>
    <row r="10" spans="1:17" x14ac:dyDescent="0.35">
      <c r="A10" t="s">
        <v>1443</v>
      </c>
      <c r="B10" t="s">
        <v>1465</v>
      </c>
      <c r="C10" t="s">
        <v>22</v>
      </c>
      <c r="D10">
        <v>7</v>
      </c>
      <c r="F10" t="s">
        <v>23</v>
      </c>
      <c r="G10" t="s">
        <v>24</v>
      </c>
      <c r="H10" t="s">
        <v>1466</v>
      </c>
      <c r="I10" t="s">
        <v>924</v>
      </c>
      <c r="J10">
        <v>3</v>
      </c>
      <c r="K10" t="s">
        <v>633</v>
      </c>
      <c r="L10" t="s">
        <v>1071</v>
      </c>
      <c r="M10">
        <v>3.4</v>
      </c>
      <c r="N10" t="s">
        <v>1433</v>
      </c>
      <c r="O10">
        <v>3</v>
      </c>
      <c r="P10">
        <v>11</v>
      </c>
      <c r="Q10" t="s">
        <v>81</v>
      </c>
    </row>
    <row r="11" spans="1:17" x14ac:dyDescent="0.35">
      <c r="A11" t="s">
        <v>1443</v>
      </c>
      <c r="B11" t="s">
        <v>1467</v>
      </c>
      <c r="C11" t="s">
        <v>22</v>
      </c>
      <c r="D11">
        <v>5</v>
      </c>
      <c r="F11" t="s">
        <v>23</v>
      </c>
      <c r="G11" t="s">
        <v>24</v>
      </c>
      <c r="H11" t="s">
        <v>777</v>
      </c>
      <c r="I11" t="s">
        <v>1080</v>
      </c>
      <c r="J11">
        <v>3</v>
      </c>
      <c r="K11" t="s">
        <v>115</v>
      </c>
      <c r="L11">
        <v>48</v>
      </c>
      <c r="M11">
        <v>3.4</v>
      </c>
      <c r="N11" t="s">
        <v>1441</v>
      </c>
      <c r="O11">
        <v>3</v>
      </c>
      <c r="P11">
        <v>10</v>
      </c>
      <c r="Q11" t="s">
        <v>81</v>
      </c>
    </row>
    <row r="13" spans="1:17" x14ac:dyDescent="0.35">
      <c r="L13" t="s">
        <v>1442</v>
      </c>
      <c r="M13">
        <f>AVERAGE(M2:M11)</f>
        <v>3.3699999999999997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8</vt:i4>
      </vt:variant>
    </vt:vector>
  </HeadingPairs>
  <TitlesOfParts>
    <vt:vector size="8" baseType="lpstr">
      <vt:lpstr>LMNA WT_rigid_MAPK3</vt:lpstr>
      <vt:lpstr>LMNA R377L_rigid_MAPK3</vt:lpstr>
      <vt:lpstr>LMNA WT_soft_MAPK3</vt:lpstr>
      <vt:lpstr>LMNA R377L_soft_MAPK3</vt:lpstr>
      <vt:lpstr>LMNA WT_soft+stretch_MAPK3</vt:lpstr>
      <vt:lpstr>LMNA R377L_soft+stretch_MAPK3</vt:lpstr>
      <vt:lpstr>Rigid negative control red</vt:lpstr>
      <vt:lpstr>Soft negative control 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konstantina topouzidou</dc:creator>
  <dc:description/>
  <cp:lastModifiedBy>Topouzidou, Konstantina (BIOCH)</cp:lastModifiedBy>
  <cp:revision>4</cp:revision>
  <dcterms:created xsi:type="dcterms:W3CDTF">2015-06-05T18:19:34Z</dcterms:created>
  <dcterms:modified xsi:type="dcterms:W3CDTF">2026-09-08T13:42:38Z</dcterms:modified>
  <dc:language>nl-NL</dc:language>
</cp:coreProperties>
</file>